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source\repos\space-sim\engineering-board\engineering-board-assets\right-panel\"/>
    </mc:Choice>
  </mc:AlternateContent>
  <xr:revisionPtr revIDLastSave="0" documentId="13_ncr:1_{23204BE5-495A-489C-B895-52F87D13FF38}" xr6:coauthVersionLast="47" xr6:coauthVersionMax="47" xr10:uidLastSave="{00000000-0000-0000-0000-000000000000}"/>
  <bookViews>
    <workbookView xWindow="4183" yWindow="660" windowWidth="24874" windowHeight="15197" xr2:uid="{9A984354-E5FD-4799-9094-7FD4131EB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15" i="1"/>
  <c r="H14" i="1"/>
  <c r="I26" i="1"/>
  <c r="I25" i="1"/>
  <c r="I24" i="1"/>
  <c r="I22" i="1"/>
  <c r="I21" i="1"/>
  <c r="I20" i="1"/>
  <c r="I19" i="1"/>
  <c r="I18" i="1"/>
  <c r="I17" i="1"/>
  <c r="I16" i="1"/>
  <c r="I15" i="1"/>
  <c r="I14" i="1"/>
  <c r="G22" i="1"/>
  <c r="G21" i="1"/>
  <c r="G20" i="1"/>
  <c r="G19" i="1"/>
  <c r="G18" i="1"/>
  <c r="G17" i="1"/>
  <c r="G16" i="1"/>
  <c r="G15" i="1"/>
  <c r="G14" i="1"/>
  <c r="F14" i="1" a="1"/>
  <c r="F14" i="1" s="1"/>
  <c r="L11" i="1"/>
  <c r="K11" i="1"/>
  <c r="J11" i="1"/>
  <c r="I11" i="1"/>
  <c r="H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  <c r="F11" i="1"/>
  <c r="F10" i="1"/>
  <c r="F9" i="1"/>
  <c r="F8" i="1"/>
  <c r="F7" i="1"/>
  <c r="F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<sst xmlns="http://schemas.openxmlformats.org/spreadsheetml/2006/main" count="20" uniqueCount="20">
  <si>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Right Eng Board Wiring Layout</t>
  </si>
  <si>
    <t>Wire Lengths</t>
  </si>
  <si>
    <t>Bus</t>
  </si>
  <si>
    <t>Card</t>
  </si>
  <si>
    <t>Y mm</t>
  </si>
  <si>
    <t>X mm</t>
  </si>
  <si>
    <t>Wire Count per run</t>
  </si>
  <si>
    <t>Cards (Card Resistor Signal Only)</t>
  </si>
  <si>
    <t>7 Seg (x4 data lines)
 &amp; Switchboard</t>
  </si>
  <si>
    <t>Note: All Vin and Ground will be a chained bus design</t>
  </si>
  <si>
    <t xml:space="preserve"> </t>
  </si>
  <si>
    <t>Wires/7Seg</t>
  </si>
  <si>
    <t>Wires/switch</t>
  </si>
  <si>
    <t>Wires/card</t>
  </si>
  <si>
    <t>mm</t>
  </si>
  <si>
    <t>m</t>
  </si>
  <si>
    <t>ft</t>
  </si>
  <si>
    <t>50ft/color</t>
  </si>
  <si>
    <t>Cards Only</t>
  </si>
  <si>
    <t>All wires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</si>
</sst>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DE57-E877-4780-BEC8-D6E586860BB3}">
  <dimension ref="A1:P26"/>
  <sheetViews>
    <sheetView tabSelected="1" topLeftCell="E1" workbookViewId="0">
      <selection activeCell="P18" sqref="P18"/>
    </sheetView>
  </sheetViews>
  <sheetFormatPr defaultColWidth="9.3046875" defaultRowHeight="15.9" customHeight="1" x14ac:dyDescent="0.4"/>
  <sheetData>
    <row r="1" spans="1:12" ht="15.9" customHeight="1" x14ac:dyDescent="0.4">
      <c r="A1" t="s">
        <v>0</v>
      </c>
      <c r="E1" t="s">
        <v>9</v>
      </c>
    </row>
    <row r="3" spans="1:12" ht="15.9" customHeight="1" x14ac:dyDescent="0.4">
      <c r="A3" t="s">
        <v>1</v>
      </c>
    </row>
    <row r="4" spans="1:12" ht="15.9" customHeight="1" x14ac:dyDescent="0.4">
      <c r="E4" s="3" t="s">
        <v>8</v>
      </c>
      <c r="F4" s="3"/>
      <c r="H4" t="s">
        <v>7</v>
      </c>
    </row>
    <row r="5" spans="1:12" ht="15.9" customHeight="1" x14ac:dyDescent="0.4">
      <c r="A5" s="1" t="s">
        <v>2</v>
      </c>
      <c r="B5" s="1" t="s">
        <v>4</v>
      </c>
      <c r="E5" s="3"/>
      <c r="F5" s="3"/>
      <c r="H5" s="2">
        <v>1</v>
      </c>
      <c r="I5" s="2">
        <v>2</v>
      </c>
      <c r="J5" s="2">
        <v>3</v>
      </c>
      <c r="K5" s="2">
        <v>4</v>
      </c>
      <c r="L5" s="2">
        <v>5</v>
      </c>
    </row>
    <row r="6" spans="1:12" ht="15.9" customHeight="1" x14ac:dyDescent="0.4">
      <c r="A6" s="2">
        <v>1</v>
      </c>
      <c r="B6" s="1">
        <v>450</v>
      </c>
      <c r="E6" s="2">
        <v>1</v>
      </c>
      <c r="F6" s="1">
        <f>B6+$B$14</f>
        <v>800</v>
      </c>
      <c r="G6" s="1"/>
      <c r="H6" s="1">
        <f>$B6+$B$15</f>
        <v>700</v>
      </c>
      <c r="I6" s="1">
        <f>$B6+$B$16</f>
        <v>600</v>
      </c>
      <c r="J6" s="1">
        <f>$B6+$B$17</f>
        <v>600</v>
      </c>
      <c r="K6" s="1">
        <f>$B6+$B$18</f>
        <v>700</v>
      </c>
      <c r="L6" s="1">
        <f>$B6+$B$19</f>
        <v>800</v>
      </c>
    </row>
    <row r="7" spans="1:12" ht="15.9" customHeight="1" x14ac:dyDescent="0.4">
      <c r="A7" s="2">
        <v>2</v>
      </c>
      <c r="B7" s="1">
        <v>300</v>
      </c>
      <c r="E7" s="2">
        <v>2</v>
      </c>
      <c r="F7" s="1">
        <f t="shared" ref="F7:F11" si="0">B7+$B$14</f>
        <v>650</v>
      </c>
      <c r="G7" s="1"/>
      <c r="H7" s="1">
        <f t="shared" ref="H7:H11" si="1">$B7+$B$15</f>
        <v>550</v>
      </c>
      <c r="I7" s="1">
        <f t="shared" ref="I7:I11" si="2">$B7+$B$16</f>
        <v>450</v>
      </c>
      <c r="J7" s="1">
        <f t="shared" ref="J7:J11" si="3">$B7+$B$17</f>
        <v>450</v>
      </c>
      <c r="K7" s="1">
        <f t="shared" ref="K7:K11" si="4">$B7+$B$18</f>
        <v>550</v>
      </c>
      <c r="L7" s="1">
        <f t="shared" ref="L7:L11" si="5">$B7+$B$19</f>
        <v>650</v>
      </c>
    </row>
    <row r="8" spans="1:12" ht="15.9" customHeight="1" x14ac:dyDescent="0.4">
      <c r="A8" s="2">
        <v>3</v>
      </c>
      <c r="B8" s="1">
        <v>150</v>
      </c>
      <c r="E8" s="2">
        <v>3</v>
      </c>
      <c r="F8" s="1">
        <f t="shared" si="0"/>
        <v>500</v>
      </c>
      <c r="G8" s="1"/>
      <c r="H8" s="1">
        <f t="shared" si="1"/>
        <v>400</v>
      </c>
      <c r="I8" s="1">
        <f t="shared" si="2"/>
        <v>300</v>
      </c>
      <c r="J8" s="1">
        <f t="shared" si="3"/>
        <v>300</v>
      </c>
      <c r="K8" s="1">
        <f t="shared" si="4"/>
        <v>400</v>
      </c>
      <c r="L8" s="1">
        <f t="shared" si="5"/>
        <v>500</v>
      </c>
    </row>
    <row r="9" spans="1:12" ht="15.9" customHeight="1" x14ac:dyDescent="0.4">
      <c r="A9" s="2">
        <v>4</v>
      </c>
      <c r="B9" s="1">
        <v>150</v>
      </c>
      <c r="E9" s="2">
        <v>4</v>
      </c>
      <c r="F9" s="1">
        <f t="shared" si="0"/>
        <v>500</v>
      </c>
      <c r="G9" s="1"/>
      <c r="H9" s="1">
        <f t="shared" si="1"/>
        <v>400</v>
      </c>
      <c r="I9" s="1">
        <f t="shared" si="2"/>
        <v>300</v>
      </c>
      <c r="J9" s="1">
        <f t="shared" si="3"/>
        <v>300</v>
      </c>
      <c r="K9" s="1">
        <f t="shared" si="4"/>
        <v>400</v>
      </c>
      <c r="L9" s="1">
        <f t="shared" si="5"/>
        <v>500</v>
      </c>
    </row>
    <row r="10" spans="1:12" ht="15.9" customHeight="1" x14ac:dyDescent="0.4">
      <c r="A10" s="2">
        <v>5</v>
      </c>
      <c r="B10" s="1">
        <v>300</v>
      </c>
      <c r="E10" s="2">
        <v>5</v>
      </c>
      <c r="F10" s="1">
        <f t="shared" si="0"/>
        <v>650</v>
      </c>
      <c r="G10" s="1"/>
      <c r="H10" s="1">
        <f t="shared" si="1"/>
        <v>550</v>
      </c>
      <c r="I10" s="1">
        <f t="shared" si="2"/>
        <v>450</v>
      </c>
      <c r="J10" s="1">
        <f t="shared" si="3"/>
        <v>450</v>
      </c>
      <c r="K10" s="1">
        <f t="shared" si="4"/>
        <v>550</v>
      </c>
      <c r="L10" s="1">
        <f t="shared" si="5"/>
        <v>650</v>
      </c>
    </row>
    <row r="11" spans="1:12" ht="15.9" customHeight="1" x14ac:dyDescent="0.4">
      <c r="A11" s="2">
        <v>6</v>
      </c>
      <c r="B11" s="1">
        <v>450</v>
      </c>
      <c r="E11" s="2">
        <v>6</v>
      </c>
      <c r="F11" s="1">
        <f t="shared" si="0"/>
        <v>800</v>
      </c>
      <c r="G11" s="1"/>
      <c r="H11" s="1">
        <f t="shared" si="1"/>
        <v>700</v>
      </c>
      <c r="I11" s="1">
        <f t="shared" si="2"/>
        <v>600</v>
      </c>
      <c r="J11" s="1">
        <f t="shared" si="3"/>
        <v>600</v>
      </c>
      <c r="K11" s="1">
        <f t="shared" si="4"/>
        <v>700</v>
      </c>
      <c r="L11" s="1">
        <f t="shared" si="5"/>
        <v>800</v>
      </c>
    </row>
    <row r="12" spans="1:12" ht="15.9" customHeight="1" x14ac:dyDescent="0.4">
      <c r="A12" s="1"/>
      <c r="B12" s="1"/>
      <c r="E12" t="s">
        <v>11</v>
      </c>
      <c r="F12">
        <v>2</v>
      </c>
      <c r="H12" t="s">
        <v>13</v>
      </c>
      <c r="I12">
        <v>1</v>
      </c>
    </row>
    <row r="13" spans="1:12" ht="15.9" customHeight="1" x14ac:dyDescent="0.4">
      <c r="A13" s="1" t="s">
        <v>3</v>
      </c>
      <c r="B13" s="1" t="s">
        <v>5</v>
      </c>
      <c r="E13" t="s">
        <v>12</v>
      </c>
      <c r="F13">
        <v>1</v>
      </c>
      <c r="G13" t="s">
        <v>19</v>
      </c>
      <c r="H13" t="s">
        <v>18</v>
      </c>
    </row>
    <row r="14" spans="1:12" ht="15.9" customHeight="1" x14ac:dyDescent="0.4">
      <c r="A14" s="2">
        <v>0</v>
      </c>
      <c r="B14" s="1">
        <v>350</v>
      </c>
      <c r="D14" t="s">
        <v>6</v>
      </c>
      <c r="F14" cm="1">
        <f t="array" ref="F14:F22">_xlfn._xlws.SORT(_xlfn.UNIQUE(_xlfn.TOCOL(F6:L11, 1)))</f>
        <v>300</v>
      </c>
      <c r="G14">
        <f>COUNTIF($F$6:$F$11, $F14) * ($F$12 + $F$13) +COUNTIF($H$6:$L$11, $F14) *$I$12</f>
        <v>4</v>
      </c>
      <c r="H14">
        <f>COUNTIF($H$6:$L$11, $F14) *$I$12</f>
        <v>4</v>
      </c>
      <c r="I14">
        <f>G14*F14</f>
        <v>1200</v>
      </c>
    </row>
    <row r="15" spans="1:12" ht="15.9" customHeight="1" x14ac:dyDescent="0.4">
      <c r="A15" s="2">
        <v>1</v>
      </c>
      <c r="B15" s="1">
        <v>250</v>
      </c>
      <c r="F15">
        <v>400</v>
      </c>
      <c r="G15">
        <f t="shared" ref="G15:G22" si="6">COUNTIF($F$6:$F$11, $F15) * ($F$12 + $F$13) +COUNTIF($H$6:$L$11, $F15) *$I$12</f>
        <v>4</v>
      </c>
      <c r="H15">
        <f t="shared" ref="H15:H22" si="7">COUNTIF($H$6:$L$11, $F15) *$I$12</f>
        <v>4</v>
      </c>
      <c r="I15">
        <f t="shared" ref="I15:I22" si="8">G15*F15</f>
        <v>1600</v>
      </c>
    </row>
    <row r="16" spans="1:12" ht="15.9" customHeight="1" x14ac:dyDescent="0.4">
      <c r="A16" s="2">
        <v>2</v>
      </c>
      <c r="B16" s="1">
        <v>150</v>
      </c>
      <c r="F16">
        <v>450</v>
      </c>
      <c r="G16">
        <f t="shared" si="6"/>
        <v>4</v>
      </c>
      <c r="H16">
        <f t="shared" si="7"/>
        <v>4</v>
      </c>
      <c r="I16">
        <f t="shared" si="8"/>
        <v>1800</v>
      </c>
    </row>
    <row r="17" spans="1:16" ht="15.9" customHeight="1" x14ac:dyDescent="0.4">
      <c r="A17" s="2">
        <v>3</v>
      </c>
      <c r="B17" s="1">
        <v>150</v>
      </c>
      <c r="F17">
        <v>500</v>
      </c>
      <c r="G17">
        <f t="shared" si="6"/>
        <v>8</v>
      </c>
      <c r="H17">
        <f t="shared" si="7"/>
        <v>2</v>
      </c>
      <c r="I17">
        <f t="shared" si="8"/>
        <v>4000</v>
      </c>
    </row>
    <row r="18" spans="1:16" ht="15.9" customHeight="1" x14ac:dyDescent="0.4">
      <c r="A18" s="2">
        <v>4</v>
      </c>
      <c r="B18" s="1">
        <v>250</v>
      </c>
      <c r="F18">
        <v>550</v>
      </c>
      <c r="G18">
        <f t="shared" si="6"/>
        <v>4</v>
      </c>
      <c r="H18">
        <f t="shared" si="7"/>
        <v>4</v>
      </c>
      <c r="I18">
        <f t="shared" si="8"/>
        <v>2200</v>
      </c>
    </row>
    <row r="19" spans="1:16" ht="15.9" customHeight="1" x14ac:dyDescent="0.4">
      <c r="A19" s="2">
        <v>5</v>
      </c>
      <c r="B19" s="1">
        <v>350</v>
      </c>
      <c r="F19">
        <v>600</v>
      </c>
      <c r="G19">
        <f t="shared" si="6"/>
        <v>4</v>
      </c>
      <c r="H19">
        <f t="shared" si="7"/>
        <v>4</v>
      </c>
      <c r="I19">
        <f t="shared" si="8"/>
        <v>2400</v>
      </c>
      <c r="P19" t="s">
        <v>10</v>
      </c>
    </row>
    <row r="20" spans="1:16" ht="15.9" customHeight="1" x14ac:dyDescent="0.4">
      <c r="A20" s="1"/>
      <c r="B20" s="1"/>
      <c r="F20">
        <v>650</v>
      </c>
      <c r="G20">
        <f t="shared" si="6"/>
        <v>8</v>
      </c>
      <c r="H20">
        <f t="shared" si="7"/>
        <v>2</v>
      </c>
      <c r="I20">
        <f t="shared" si="8"/>
        <v>5200</v>
      </c>
    </row>
    <row r="21" spans="1:16" ht="15.9" customHeight="1" x14ac:dyDescent="0.4">
      <c r="F21">
        <v>700</v>
      </c>
      <c r="G21">
        <f t="shared" si="6"/>
        <v>4</v>
      </c>
      <c r="H21">
        <f t="shared" si="7"/>
        <v>4</v>
      </c>
      <c r="I21">
        <f t="shared" si="8"/>
        <v>2800</v>
      </c>
    </row>
    <row r="22" spans="1:16" ht="15.9" customHeight="1" x14ac:dyDescent="0.4">
      <c r="F22">
        <v>800</v>
      </c>
      <c r="G22">
        <f t="shared" si="6"/>
        <v>8</v>
      </c>
      <c r="H22">
        <f t="shared" si="7"/>
        <v>2</v>
      </c>
      <c r="I22">
        <f t="shared" si="8"/>
        <v>6400</v>
      </c>
    </row>
    <row r="24" spans="1:16" ht="15.9" customHeight="1" x14ac:dyDescent="0.4">
      <c r="I24">
        <f>SUM(I14:I22)</f>
        <v>27600</v>
      </c>
      <c r="J24" t="s">
        <v>14</v>
      </c>
    </row>
    <row r="25" spans="1:16" ht="15.9" customHeight="1" x14ac:dyDescent="0.4">
      <c r="I25">
        <f>I24/1000</f>
        <v>27.6</v>
      </c>
      <c r="J25" t="s">
        <v>15</v>
      </c>
    </row>
    <row r="26" spans="1:16" ht="15.9" customHeight="1" x14ac:dyDescent="0.4">
      <c r="I26">
        <f>I24/(25.4 *12)</f>
        <v>90.551181102362222</v>
      </c>
      <c r="J26" t="s">
        <v>16</v>
      </c>
      <c r="K26" t="s">
        <v>17</v>
      </c>
    </row>
  </sheetData>
  <mergeCells count="1">
    <mergeCell ref="E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Southern</dc:creator>
  <cp:lastModifiedBy>David Southern</cp:lastModifiedBy>
  <dcterms:created xsi:type="dcterms:W3CDTF">2026-03-23T19:33:09Z</dcterms:created>
  <dcterms:modified xsi:type="dcterms:W3CDTF">2026-04-11T04:46:49Z</dcterms:modified>
</cp:coreProperties>
</file>