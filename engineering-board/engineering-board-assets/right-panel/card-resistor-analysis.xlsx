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source\repos\space-sim\engineering-board\engineering-board-assets\right-panel\"/>
    </mc:Choice>
  </mc:AlternateContent>
  <xr:revisionPtr revIDLastSave="0" documentId="13_ncr:1_{BC75FE59-FE23-434F-99C3-B26DD9A9C73E}" xr6:coauthVersionLast="47" xr6:coauthVersionMax="47" xr10:uidLastSave="{00000000-0000-0000-0000-000000000000}"/>
  <bookViews>
    <workbookView xWindow="1200" yWindow="471" windowWidth="24874" windowHeight="15198" xr2:uid="{F0D13A0F-5323-4D5E-8232-E6B6A5230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2" i="1" l="1"/>
  <c r="AB71" i="1"/>
  <c r="AB70" i="1"/>
  <c r="AB69" i="1"/>
  <c r="AB68" i="1"/>
  <c r="AB67" i="1"/>
  <c r="AB66" i="1"/>
  <c r="AB65" i="1"/>
  <c r="AB64" i="1"/>
  <c r="AB63" i="1"/>
  <c r="AB62" i="1"/>
  <c r="AB61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B60" i="1" s="1"/>
  <c r="AA59" i="1"/>
  <c r="AB59" i="1" s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55" i="1"/>
  <c r="AM54" i="1"/>
  <c r="AM53" i="1"/>
  <c r="AM52" i="1"/>
  <c r="AM51" i="1"/>
  <c r="AM50" i="1"/>
  <c r="AM49" i="1"/>
  <c r="AM48" i="1"/>
  <c r="AM47" i="1"/>
  <c r="AM46" i="1"/>
  <c r="AM45" i="1"/>
  <c r="AM44" i="1"/>
  <c r="AM43" i="1"/>
  <c r="AM42" i="1"/>
  <c r="AD42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G3" i="1"/>
  <c r="G2" i="1" s="1"/>
  <c r="G1" i="1"/>
  <c r="E10" i="1"/>
  <c r="E8" i="1"/>
  <c r="E11" i="1"/>
  <c r="E20" i="1"/>
  <c r="I41" i="1" s="1"/>
  <c r="E12" i="1"/>
  <c r="I33" i="1" s="1"/>
  <c r="E17" i="1"/>
  <c r="I38" i="1" s="1"/>
  <c r="E18" i="1"/>
  <c r="I39" i="1" s="1"/>
  <c r="E13" i="1"/>
  <c r="E14" i="1"/>
  <c r="E9" i="1"/>
  <c r="E7" i="1"/>
  <c r="E16" i="1"/>
  <c r="I37" i="1" s="1"/>
  <c r="E15" i="1"/>
  <c r="I36" i="1" s="1"/>
  <c r="E19" i="1"/>
  <c r="I40" i="1" s="1"/>
  <c r="D6" i="1"/>
  <c r="E6" i="1" s="1"/>
  <c r="D23" i="1" l="1"/>
  <c r="D36" i="1" s="1"/>
  <c r="D24" i="1"/>
  <c r="H32" i="1" s="1"/>
  <c r="D22" i="1"/>
  <c r="F8" i="1"/>
  <c r="G8" i="1" s="1"/>
  <c r="F13" i="1"/>
  <c r="G13" i="1" s="1"/>
  <c r="F12" i="1"/>
  <c r="G12" i="1" s="1"/>
  <c r="F11" i="1"/>
  <c r="G11" i="1" s="1"/>
  <c r="F10" i="1"/>
  <c r="G10" i="1" s="1"/>
  <c r="F9" i="1"/>
  <c r="G9" i="1" s="1"/>
  <c r="I28" i="1"/>
  <c r="I31" i="1"/>
  <c r="I32" i="1"/>
  <c r="F15" i="1"/>
  <c r="G15" i="1" s="1"/>
  <c r="F14" i="1"/>
  <c r="G14" i="1" s="1"/>
  <c r="I29" i="1"/>
  <c r="I30" i="1"/>
  <c r="E22" i="1"/>
  <c r="E23" i="1"/>
  <c r="E28" i="1" s="1"/>
  <c r="I27" i="1"/>
  <c r="I34" i="1"/>
  <c r="F16" i="1"/>
  <c r="G16" i="1" s="1"/>
  <c r="F17" i="1"/>
  <c r="G17" i="1" s="1"/>
  <c r="F18" i="1"/>
  <c r="G18" i="1" s="1"/>
  <c r="F19" i="1"/>
  <c r="G19" i="1" s="1"/>
  <c r="E24" i="1"/>
  <c r="I35" i="1"/>
  <c r="F20" i="1"/>
  <c r="G20" i="1" s="1"/>
  <c r="F6" i="1"/>
  <c r="G6" i="1" s="1"/>
  <c r="F7" i="1"/>
  <c r="G7" i="1" s="1"/>
  <c r="H38" i="1" l="1"/>
  <c r="H37" i="1"/>
  <c r="H35" i="1"/>
  <c r="H34" i="1"/>
  <c r="H36" i="1"/>
  <c r="H28" i="1"/>
  <c r="H41" i="1"/>
  <c r="H27" i="1"/>
  <c r="H31" i="1"/>
  <c r="H39" i="1"/>
  <c r="H30" i="1"/>
  <c r="H29" i="1"/>
  <c r="D31" i="1"/>
  <c r="D37" i="1"/>
  <c r="D30" i="1"/>
  <c r="D28" i="1"/>
  <c r="D38" i="1"/>
  <c r="D27" i="1"/>
  <c r="D35" i="1"/>
  <c r="D41" i="1"/>
  <c r="D40" i="1"/>
  <c r="D32" i="1"/>
  <c r="D29" i="1"/>
  <c r="D34" i="1"/>
  <c r="D33" i="1"/>
  <c r="D39" i="1"/>
  <c r="H40" i="1"/>
  <c r="H33" i="1"/>
  <c r="G4" i="1"/>
  <c r="E36" i="1"/>
  <c r="E29" i="1"/>
  <c r="E41" i="1"/>
  <c r="E40" i="1"/>
  <c r="E39" i="1"/>
  <c r="E38" i="1"/>
  <c r="E37" i="1"/>
  <c r="E34" i="1"/>
  <c r="E35" i="1"/>
  <c r="F23" i="1"/>
  <c r="F41" i="1" s="1"/>
  <c r="E32" i="1"/>
  <c r="E33" i="1"/>
  <c r="E30" i="1"/>
  <c r="F22" i="1"/>
  <c r="E27" i="1"/>
  <c r="E31" i="1"/>
  <c r="F24" i="1"/>
  <c r="J38" i="1" s="1"/>
  <c r="F32" i="1" l="1"/>
  <c r="J27" i="1"/>
  <c r="F27" i="1"/>
  <c r="F31" i="1"/>
  <c r="F40" i="1"/>
  <c r="F33" i="1"/>
  <c r="F34" i="1"/>
  <c r="F35" i="1"/>
  <c r="F36" i="1"/>
  <c r="J33" i="1"/>
  <c r="J34" i="1"/>
  <c r="J36" i="1"/>
  <c r="J35" i="1"/>
  <c r="J29" i="1"/>
  <c r="J30" i="1"/>
  <c r="J31" i="1"/>
  <c r="J32" i="1"/>
  <c r="J28" i="1"/>
  <c r="F28" i="1"/>
  <c r="J39" i="1"/>
  <c r="J41" i="1"/>
  <c r="F29" i="1"/>
  <c r="F30" i="1"/>
  <c r="F37" i="1"/>
  <c r="F38" i="1"/>
  <c r="J37" i="1"/>
  <c r="F39" i="1"/>
  <c r="J40" i="1"/>
  <c r="AG3" i="1" l="1"/>
  <c r="AG5" i="1"/>
  <c r="AG4" i="1"/>
  <c r="AG2" i="1"/>
  <c r="Y1" i="1" l="1"/>
  <c r="AA6" i="1"/>
  <c r="AA8" i="1"/>
  <c r="AA7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B35" i="1" s="1"/>
  <c r="AC35" i="1" s="1"/>
  <c r="AB16" i="1" l="1"/>
  <c r="AC16" i="1" s="1"/>
  <c r="AB28" i="1"/>
  <c r="AC28" i="1" s="1"/>
  <c r="AB8" i="1"/>
  <c r="AC8" i="1" s="1"/>
  <c r="AB26" i="1"/>
  <c r="AC26" i="1" s="1"/>
  <c r="AB32" i="1"/>
  <c r="AC32" i="1" s="1"/>
  <c r="AB15" i="1"/>
  <c r="AC15" i="1" s="1"/>
  <c r="AB23" i="1"/>
  <c r="AC23" i="1" s="1"/>
  <c r="AB24" i="1"/>
  <c r="AC24" i="1" s="1"/>
  <c r="AB27" i="1"/>
  <c r="AC27" i="1" s="1"/>
  <c r="AB14" i="1"/>
  <c r="AC14" i="1" s="1"/>
  <c r="AB25" i="1"/>
  <c r="AC25" i="1" s="1"/>
  <c r="AB12" i="1"/>
  <c r="AC12" i="1" s="1"/>
  <c r="AB13" i="1"/>
  <c r="AC13" i="1" s="1"/>
  <c r="AB34" i="1"/>
  <c r="AC34" i="1" s="1"/>
  <c r="AB9" i="1"/>
  <c r="AC9" i="1" s="1"/>
  <c r="AB10" i="1"/>
  <c r="AC10" i="1" s="1"/>
  <c r="AB21" i="1"/>
  <c r="AC21" i="1" s="1"/>
  <c r="AB20" i="1"/>
  <c r="AC20" i="1" s="1"/>
  <c r="AB31" i="1"/>
  <c r="AC31" i="1" s="1"/>
  <c r="AB18" i="1"/>
  <c r="AC18" i="1" s="1"/>
  <c r="AB19" i="1"/>
  <c r="AC19" i="1" s="1"/>
  <c r="AB30" i="1"/>
  <c r="AC30" i="1" s="1"/>
  <c r="AH5" i="1"/>
  <c r="AH3" i="1"/>
  <c r="AH4" i="1"/>
  <c r="AH2" i="1"/>
  <c r="AB11" i="1"/>
  <c r="AC11" i="1" s="1"/>
  <c r="AB22" i="1"/>
  <c r="AC22" i="1" s="1"/>
  <c r="AB33" i="1"/>
  <c r="AC33" i="1" s="1"/>
  <c r="AB6" i="1"/>
  <c r="AB7" i="1"/>
  <c r="AC7" i="1" s="1"/>
  <c r="AB29" i="1"/>
  <c r="AC29" i="1" s="1"/>
  <c r="AB17" i="1"/>
  <c r="AC17" i="1" s="1"/>
  <c r="AC6" i="1" l="1"/>
  <c r="AI4" i="1"/>
  <c r="AM5" i="1" s="1"/>
  <c r="AI3" i="1"/>
  <c r="AM3" i="1" s="1"/>
  <c r="AI5" i="1"/>
  <c r="AM2" i="1" s="1"/>
  <c r="AI2" i="1"/>
  <c r="AM4" i="1" s="1"/>
  <c r="AJ3" i="1" l="1"/>
  <c r="AJ2" i="1"/>
  <c r="AJ5" i="1"/>
  <c r="AJ4" i="1"/>
</calcChain>
</file>

<file path=xl/sharedStrings.xml><?xml version="1.0" encoding="utf-8"?>
<sst xmlns="http://schemas.openxmlformats.org/spreadsheetml/2006/main" count="161" uniqueCount="97">
  <si>
    <t>Eng Board Right Panel Card Resistance Values</t>
  </si>
  <si>
    <t>Card #</t>
  </si>
  <si>
    <t>Name</t>
  </si>
  <si>
    <t>Vin:</t>
  </si>
  <si>
    <t>Warp Field</t>
  </si>
  <si>
    <t>Gravity Field</t>
  </si>
  <si>
    <t>Alcubier</t>
  </si>
  <si>
    <t>Port Shields</t>
  </si>
  <si>
    <t>Aft Shields</t>
  </si>
  <si>
    <t>Signal Jammer</t>
  </si>
  <si>
    <t>Internal Sense</t>
  </si>
  <si>
    <t>Marconi</t>
  </si>
  <si>
    <t>Laser</t>
  </si>
  <si>
    <t>Dup Resistors</t>
  </si>
  <si>
    <t>Transport</t>
  </si>
  <si>
    <t>Stealth</t>
  </si>
  <si>
    <t>Internal Comm</t>
  </si>
  <si>
    <t>Radio</t>
  </si>
  <si>
    <t>External Sense</t>
  </si>
  <si>
    <t>Targeting</t>
  </si>
  <si>
    <t>Vout (calc)</t>
  </si>
  <si>
    <t>Vout (measured)</t>
  </si>
  <si>
    <t>Fixed Resistor</t>
  </si>
  <si>
    <t>V</t>
  </si>
  <si>
    <t>Resistor (ohm)</t>
  </si>
  <si>
    <t>ohm</t>
  </si>
  <si>
    <t>Delta V</t>
  </si>
  <si>
    <t>Mean:</t>
  </si>
  <si>
    <t>Median:</t>
  </si>
  <si>
    <t>Normalized</t>
  </si>
  <si>
    <t>Max:</t>
  </si>
  <si>
    <t>% Ohm</t>
  </si>
  <si>
    <t>% V</t>
  </si>
  <si>
    <t>% DeltaV</t>
  </si>
  <si>
    <t>GCM4 Min Analog V Resolution</t>
  </si>
  <si>
    <t>Acceptable Min V Resolution</t>
  </si>
  <si>
    <t>Total Cards</t>
  </si>
  <si>
    <t>Acceptable</t>
  </si>
  <si>
    <t>Acceptability Ratio</t>
  </si>
  <si>
    <t>Absolute Min V Resoluition</t>
  </si>
  <si>
    <t>Worst Acceptable</t>
  </si>
  <si>
    <t>Best Divider</t>
  </si>
  <si>
    <t>Best DeltaV</t>
  </si>
  <si>
    <t>Best Acceptability</t>
  </si>
  <si>
    <t>Possible Voltages</t>
  </si>
  <si>
    <t>Owned</t>
  </si>
  <si>
    <t>Ohms</t>
  </si>
  <si>
    <t>Vout</t>
  </si>
  <si>
    <t>DeltaV</t>
  </si>
  <si>
    <t>Current:</t>
  </si>
  <si>
    <t>ma</t>
  </si>
  <si>
    <t>Min:</t>
  </si>
  <si>
    <t>Start</t>
  </si>
  <si>
    <t>Divider</t>
  </si>
  <si>
    <t>Worst DeltaV</t>
  </si>
  <si>
    <t>Median Accept</t>
  </si>
  <si>
    <t>Worst Accept</t>
  </si>
  <si>
    <t>End</t>
  </si>
  <si>
    <t>% Inc</t>
  </si>
  <si>
    <t>Increment</t>
  </si>
  <si>
    <t>Delta Reading</t>
  </si>
  <si>
    <t>Worst</t>
  </si>
  <si>
    <t>Best</t>
  </si>
  <si>
    <t>Median</t>
  </si>
  <si>
    <t>Average</t>
  </si>
  <si>
    <t>Worst Reading</t>
  </si>
  <si>
    <t>Actual</t>
  </si>
  <si>
    <t>https://www.amazon.com/Minidodoca-Tolerance-Resistors-Assortment-Compliant/dp/B0BNWSCCJZ/?_encoding=UTF8&amp;pd_rd_w=A3T0z&amp;content-id=amzn1.sym.4efc43db-939e-4a80-abaf-50c6a6b8c631%3Aamzn1.symc.5a16118f-86f0-44cd-8e3e-6c5f82df43d0&amp;pf_rd_p=4efc43db-939e-4a80-abaf-50c6a6b8c631&amp;pf_rd_r=DVMW6J1A0Z87YZZATHNJ&amp;pd_rd_wg=owEjJ&amp;pd_rd_r=4b213b51-fdea-4b7d-bd3c-a96ff4e0bf49&amp;th=1</t>
  </si>
  <si>
    <t>Measured</t>
  </si>
  <si>
    <t>Max</t>
  </si>
  <si>
    <t>Min</t>
  </si>
  <si>
    <t>Voltage</t>
  </si>
  <si>
    <t>Value Resolution</t>
  </si>
  <si>
    <t>Min Safety</t>
  </si>
  <si>
    <t>Fixed Divisor Resistor</t>
  </si>
  <si>
    <t>Max DeltaV</t>
  </si>
  <si>
    <t>Avg DeltaV</t>
  </si>
  <si>
    <t>Excp / 60s</t>
  </si>
  <si>
    <t>Fusion Engine</t>
  </si>
  <si>
    <t>Alcubierre Warp Drive</t>
  </si>
  <si>
    <t>Laser Cannon</t>
  </si>
  <si>
    <t>Dorsal Shields</t>
  </si>
  <si>
    <t>Fore Shields</t>
  </si>
  <si>
    <t>Starboard Shields</t>
  </si>
  <si>
    <t>Ventral Shields</t>
  </si>
  <si>
    <t>Stealth Fields</t>
  </si>
  <si>
    <t>Long Range Comm</t>
  </si>
  <si>
    <t>Navigation</t>
  </si>
  <si>
    <t>External Sensors</t>
  </si>
  <si>
    <t>Internal Sensors</t>
  </si>
  <si>
    <t>Radio Communications</t>
  </si>
  <si>
    <t>CO2 Scrubbers</t>
  </si>
  <si>
    <t>Oxygen Generators</t>
  </si>
  <si>
    <t>Thrusters</t>
  </si>
  <si>
    <t>Tractor Beam</t>
  </si>
  <si>
    <t>Transporters</t>
  </si>
  <si>
    <t>Main 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</si>
</sst>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1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/>
    <xf numFmtId="164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Card Comparison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Sheet1!$J$26</c:f>
              <c:strCache>
                <c:ptCount val="1"/>
                <c:pt idx="0">
                  <c:v>% DeltaV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Sheet1!$J$27:$J$41</c:f>
              <c:numCache>
                <c:formatCode>0%</c:formatCode>
                <c:ptCount val="15"/>
                <c:pt idx="0">
                  <c:v>7.978887237023026E-2</c:v>
                </c:pt>
                <c:pt idx="1">
                  <c:v>0.30303030303030304</c:v>
                </c:pt>
                <c:pt idx="2">
                  <c:v>0.30303030303030304</c:v>
                </c:pt>
                <c:pt idx="3">
                  <c:v>7.1387483708048358E-2</c:v>
                </c:pt>
                <c:pt idx="4">
                  <c:v>7.4673794828111317E-2</c:v>
                </c:pt>
                <c:pt idx="5">
                  <c:v>7.4673794828111317E-2</c:v>
                </c:pt>
                <c:pt idx="6">
                  <c:v>6.3397167366517113E-2</c:v>
                </c:pt>
                <c:pt idx="7">
                  <c:v>6.3397167366517113E-2</c:v>
                </c:pt>
                <c:pt idx="8">
                  <c:v>6.2594335761516046E-2</c:v>
                </c:pt>
                <c:pt idx="9">
                  <c:v>6.2594335761516046E-2</c:v>
                </c:pt>
                <c:pt idx="10">
                  <c:v>5.878816925681607E-2</c:v>
                </c:pt>
                <c:pt idx="11">
                  <c:v>8.9361872798742192E-2</c:v>
                </c:pt>
                <c:pt idx="12">
                  <c:v>0.15566980973801392</c:v>
                </c:pt>
                <c:pt idx="13">
                  <c:v>0.15566980973801392</c:v>
                </c:pt>
                <c:pt idx="14">
                  <c:v>7.1831000871858786E-2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C3-4134-B28B-E4C5BEB02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595344"/>
        <c:axId val="557595824"/>
      </c:lineChart>
      <c:catAx>
        <c:axId val="55759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95824"/>
        <c:crosses val="autoZero"/>
        <c:auto val="1"/>
        <c:lblAlgn val="ctr"/>
        <c:lblOffset val="100"/>
        <c:noMultiLvlLbl val="0"/>
      </c:catAx>
      <c:valAx>
        <c:axId val="5575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Acceptability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Acceptable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Sheet1!$G$6:$G$20</c:f>
              <c:numCache>
                <c:formatCode>General</c:formatCode>
                <c:ptCount val="15"/>
                <c:pt idx="0">
                  <c:v>-0.1478736105075783</c:v>
                </c:pt>
                <c:pt idx="1">
                  <c:v>2.2362923595389748</c:v>
                </c:pt>
                <c:pt idx="2">
                  <c:v>2.2362923595389748</c:v>
                </c:pt>
                <c:pt idx="3">
                  <c:v>-0.23759846529946926</c:v>
                </c:pt>
                <c:pt idx="4">
                  <c:v>-0.20250143552200783</c:v>
                </c:pt>
                <c:pt idx="5">
                  <c:v>-0.20250143552200783</c:v>
                </c:pt>
                <c:pt idx="6">
                  <c:v>-0.32293316439657926</c:v>
                </c:pt>
                <c:pt idx="7">
                  <c:v>-0.32293316439657926</c:v>
                </c:pt>
                <c:pt idx="8">
                  <c:v>-0.33150721710114184</c:v>
                </c:pt>
                <c:pt idx="9">
                  <c:v>-0.33150721710114184</c:v>
                </c:pt>
                <c:pt idx="10">
                  <c:v>-0.37215618010951101</c:v>
                </c:pt>
                <c:pt idx="11">
                  <c:v>-4.5636217630211862E-2</c:v>
                </c:pt>
                <c:pt idx="12">
                  <c:v>0.6625169523578669</c:v>
                </c:pt>
                <c:pt idx="13">
                  <c:v>0.6625169523578669</c:v>
                </c:pt>
                <c:pt idx="14">
                  <c:v>-0.23286180631120779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D-4260-AF80-1A276A62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316800"/>
        <c:axId val="241719568"/>
      </c:barChart>
      <c:catAx>
        <c:axId val="24231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19568"/>
        <c:crosses val="autoZero"/>
        <c:auto val="1"/>
        <c:lblAlgn val="ctr"/>
        <c:lblOffset val="100"/>
        <c:noMultiLvlLbl val="0"/>
      </c:catAx>
      <c:valAx>
        <c:axId val="2417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1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Acceptability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Sheet1!$G$5</c:f>
              <c:strCache>
                <c:ptCount val="1"/>
                <c:pt idx="0">
                  <c:v>Acceptable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Sheet1!$AC$6:$AC$34</c:f>
              <c:numCache>
                <c:formatCode>General</c:formatCode>
                <c:ptCount val="29"/>
                <c:pt idx="0">
                  <c:v>-0.82638888888888795</c:v>
                </c:pt>
                <c:pt idx="1">
                  <c:v>-0.74747474747474829</c:v>
                </c:pt>
                <c:pt idx="2">
                  <c:v>-0.74747474747474829</c:v>
                </c:pt>
                <c:pt idx="3">
                  <c:v>-0.75649350649350733</c:v>
                </c:pt>
                <c:pt idx="4">
                  <c:v>-0.69574036511156157</c:v>
                </c:pt>
                <c:pt idx="5">
                  <c:v>-0.56896551724138023</c:v>
                </c:pt>
                <c:pt idx="6">
                  <c:v>-0.56896551724138023</c:v>
                </c:pt>
                <c:pt idx="7">
                  <c:v>-0.56125689453451422</c:v>
                </c:pt>
                <c:pt idx="8">
                  <c:v>-0.5359987626633671</c:v>
                </c:pt>
                <c:pt idx="9">
                  <c:v>-0.41917769642354408</c:v>
                </c:pt>
                <c:pt idx="10">
                  <c:v>-0.38679245283018904</c:v>
                </c:pt>
                <c:pt idx="11">
                  <c:v>-0.33609958506223903</c:v>
                </c:pt>
                <c:pt idx="12">
                  <c:v>-0.31774656878391361</c:v>
                </c:pt>
                <c:pt idx="13">
                  <c:v>-0.31774656878391361</c:v>
                </c:pt>
                <c:pt idx="14">
                  <c:v>-0.38186813186813207</c:v>
                </c:pt>
                <c:pt idx="15">
                  <c:v>-0.31818181818181857</c:v>
                </c:pt>
                <c:pt idx="16">
                  <c:v>-0.26289926289926335</c:v>
                </c:pt>
                <c:pt idx="17">
                  <c:v>-0.26289926289926335</c:v>
                </c:pt>
                <c:pt idx="18">
                  <c:v>-0.27606177606177573</c:v>
                </c:pt>
                <c:pt idx="19">
                  <c:v>-0.33035714285714268</c:v>
                </c:pt>
                <c:pt idx="20">
                  <c:v>-0.46236559139784938</c:v>
                </c:pt>
                <c:pt idx="21">
                  <c:v>-0.46236559139784938</c:v>
                </c:pt>
                <c:pt idx="22">
                  <c:v>-0.30175246440306669</c:v>
                </c:pt>
                <c:pt idx="23">
                  <c:v>-0.30175246440306669</c:v>
                </c:pt>
                <c:pt idx="24">
                  <c:v>-0.6087442553720035</c:v>
                </c:pt>
                <c:pt idx="25">
                  <c:v>-0.63693411026445568</c:v>
                </c:pt>
                <c:pt idx="26">
                  <c:v>-0.69696969696969702</c:v>
                </c:pt>
                <c:pt idx="27">
                  <c:v>-0.69696969696969702</c:v>
                </c:pt>
                <c:pt idx="28">
                  <c:v>-0.79020979020979021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B-45DD-A214-7FC5956E6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316800"/>
        <c:axId val="241719568"/>
      </c:barChart>
      <c:catAx>
        <c:axId val="24231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719568"/>
        <c:crosses val="autoZero"/>
        <c:auto val="1"/>
        <c:lblAlgn val="ctr"/>
        <c:lblOffset val="100"/>
        <c:noMultiLvlLbl val="0"/>
      </c:catAx>
      <c:valAx>
        <c:axId val="24171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31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Sheet1!$AI$63:$AI$77</c:f>
              <c:numCache>
                <c:formatCode>General</c:formatCode>
                <c:ptCount val="15"/>
                <c:pt idx="0">
                  <c:v>4.7</c:v>
                </c:pt>
                <c:pt idx="1">
                  <c:v>10</c:v>
                </c:pt>
                <c:pt idx="2">
                  <c:v>22</c:v>
                </c:pt>
                <c:pt idx="3">
                  <c:v>47</c:v>
                </c:pt>
                <c:pt idx="4">
                  <c:v>68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220</c:v>
                </c:pt>
                <c:pt idx="9">
                  <c:v>330</c:v>
                </c:pt>
                <c:pt idx="10">
                  <c:v>1000</c:v>
                </c:pt>
                <c:pt idx="11">
                  <c:v>2200</c:v>
                </c:pt>
                <c:pt idx="12">
                  <c:v>4700</c:v>
                </c:pt>
                <c:pt idx="13">
                  <c:v>5500</c:v>
                </c:pt>
              </c:numCache>
            </c:numRef>
          </c:cat>
          <c:val>
            <c:numRef>
              <c:f>Sheet1!$AL$63:$AL$76</c:f>
              <c:numCache>
                <c:formatCode>General</c:formatCode>
                <c:ptCount val="14"/>
                <c:pt idx="0">
                  <c:v>3.16</c:v>
                </c:pt>
                <c:pt idx="1">
                  <c:v>3.03</c:v>
                </c:pt>
                <c:pt idx="2">
                  <c:v>2.78</c:v>
                </c:pt>
                <c:pt idx="3">
                  <c:v>2.37</c:v>
                </c:pt>
                <c:pt idx="4">
                  <c:v>2.2400000000000002</c:v>
                </c:pt>
                <c:pt idx="5">
                  <c:v>1.87</c:v>
                </c:pt>
                <c:pt idx="6">
                  <c:v>1.68</c:v>
                </c:pt>
                <c:pt idx="7">
                  <c:v>1.6</c:v>
                </c:pt>
                <c:pt idx="8">
                  <c:v>1.43</c:v>
                </c:pt>
                <c:pt idx="9">
                  <c:v>1.22</c:v>
                </c:pt>
                <c:pt idx="10">
                  <c:v>0.66</c:v>
                </c:pt>
                <c:pt idx="11">
                  <c:v>0.21</c:v>
                </c:pt>
                <c:pt idx="12">
                  <c:v>0.26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0A7-49AE-A634-E59941133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110160"/>
        <c:axId val="1245106800"/>
      </c:lineChart>
      <c:catAx>
        <c:axId val="124511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06800"/>
        <c:crosses val="autoZero"/>
        <c:auto val="1"/>
        <c:lblAlgn val="ctr"/>
        <c:lblOffset val="100"/>
        <c:noMultiLvlLbl val="0"/>
      </c:catAx>
      <c:valAx>
        <c:axId val="12451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1016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  <a:r>
              <a:rPr lang="en-US" baseline="0"/>
              <a:t> Ranges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Sheet1!$AI$63:$AI$76</c:f>
              <c:numCache>
                <c:formatCode>General</c:formatCode>
                <c:ptCount val="14"/>
                <c:pt idx="0">
                  <c:v>4.7</c:v>
                </c:pt>
                <c:pt idx="1">
                  <c:v>10</c:v>
                </c:pt>
                <c:pt idx="2">
                  <c:v>22</c:v>
                </c:pt>
                <c:pt idx="3">
                  <c:v>47</c:v>
                </c:pt>
                <c:pt idx="4">
                  <c:v>68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220</c:v>
                </c:pt>
                <c:pt idx="9">
                  <c:v>330</c:v>
                </c:pt>
                <c:pt idx="10">
                  <c:v>1000</c:v>
                </c:pt>
                <c:pt idx="11">
                  <c:v>2200</c:v>
                </c:pt>
                <c:pt idx="12">
                  <c:v>4700</c:v>
                </c:pt>
                <c:pt idx="13">
                  <c:v>5500</c:v>
                </c:pt>
              </c:numCache>
            </c:numRef>
          </c:cat>
          <c:val>
            <c:numRef>
              <c:f>Sheet1!$AK$63:$AK$76</c:f>
              <c:numCache>
                <c:formatCode>General</c:formatCode>
                <c:ptCount val="14"/>
                <c:pt idx="0">
                  <c:v>3.15</c:v>
                </c:pt>
                <c:pt idx="1">
                  <c:v>3.03</c:v>
                </c:pt>
                <c:pt idx="2">
                  <c:v>2.77</c:v>
                </c:pt>
                <c:pt idx="3">
                  <c:v>2.37</c:v>
                </c:pt>
                <c:pt idx="4">
                  <c:v>2.23</c:v>
                </c:pt>
                <c:pt idx="5">
                  <c:v>1.87</c:v>
                </c:pt>
                <c:pt idx="6">
                  <c:v>1.68</c:v>
                </c:pt>
                <c:pt idx="7">
                  <c:v>1.59</c:v>
                </c:pt>
                <c:pt idx="8">
                  <c:v>1.43</c:v>
                </c:pt>
                <c:pt idx="9">
                  <c:v>1.07</c:v>
                </c:pt>
                <c:pt idx="10">
                  <c:v>0.64</c:v>
                </c:pt>
                <c:pt idx="11">
                  <c:v>0.2</c:v>
                </c:pt>
                <c:pt idx="12">
                  <c:v>0.25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6D-4CB3-93AC-F310BD1E370A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Sheet1!$AI$63:$AI$76</c:f>
              <c:numCache>
                <c:formatCode>General</c:formatCode>
                <c:ptCount val="14"/>
                <c:pt idx="0">
                  <c:v>4.7</c:v>
                </c:pt>
                <c:pt idx="1">
                  <c:v>10</c:v>
                </c:pt>
                <c:pt idx="2">
                  <c:v>22</c:v>
                </c:pt>
                <c:pt idx="3">
                  <c:v>47</c:v>
                </c:pt>
                <c:pt idx="4">
                  <c:v>68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220</c:v>
                </c:pt>
                <c:pt idx="9">
                  <c:v>330</c:v>
                </c:pt>
                <c:pt idx="10">
                  <c:v>1000</c:v>
                </c:pt>
                <c:pt idx="11">
                  <c:v>2200</c:v>
                </c:pt>
                <c:pt idx="12">
                  <c:v>4700</c:v>
                </c:pt>
                <c:pt idx="13">
                  <c:v>5500</c:v>
                </c:pt>
              </c:numCache>
            </c:numRef>
          </c:cat>
          <c:val>
            <c:numRef>
              <c:f>Sheet1!$AL$63:$AL$76</c:f>
              <c:numCache>
                <c:formatCode>General</c:formatCode>
                <c:ptCount val="14"/>
                <c:pt idx="0">
                  <c:v>3.16</c:v>
                </c:pt>
                <c:pt idx="1">
                  <c:v>3.03</c:v>
                </c:pt>
                <c:pt idx="2">
                  <c:v>2.78</c:v>
                </c:pt>
                <c:pt idx="3">
                  <c:v>2.37</c:v>
                </c:pt>
                <c:pt idx="4">
                  <c:v>2.2400000000000002</c:v>
                </c:pt>
                <c:pt idx="5">
                  <c:v>1.87</c:v>
                </c:pt>
                <c:pt idx="6">
                  <c:v>1.68</c:v>
                </c:pt>
                <c:pt idx="7">
                  <c:v>1.6</c:v>
                </c:pt>
                <c:pt idx="8">
                  <c:v>1.43</c:v>
                </c:pt>
                <c:pt idx="9">
                  <c:v>1.22</c:v>
                </c:pt>
                <c:pt idx="10">
                  <c:v>0.66</c:v>
                </c:pt>
                <c:pt idx="11">
                  <c:v>0.21</c:v>
                </c:pt>
                <c:pt idx="12">
                  <c:v>0.26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6D-4CB3-93AC-F310BD1E3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128272800"/>
        <c:axId val="1727939200"/>
      </c:stockChart>
      <c:catAx>
        <c:axId val="21282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39200"/>
        <c:crosses val="autoZero"/>
        <c:auto val="1"/>
        <c:lblAlgn val="ctr"/>
        <c:lblOffset val="100"/>
        <c:noMultiLvlLbl val="0"/>
      </c:catAx>
      <c:valAx>
        <c:axId val="17279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Sheet1!$AC$41:$AC$55</c:f>
              <c:strCache>
                <c:ptCount val="15"/>
                <c:pt idx="0">
                  <c:v>0.01</c:v>
                </c:pt>
                <c:pt idx="1">
                  <c:v>3.28</c:v>
                </c:pt>
                <c:pt idx="2">
                  <c:v>3.27</c:v>
                </c:pt>
                <c:pt idx="3">
                  <c:v>3.23</c:v>
                </c:pt>
                <c:pt idx="4">
                  <c:v>3.15</c:v>
                </c:pt>
                <c:pt idx="5">
                  <c:v>3.09</c:v>
                </c:pt>
                <c:pt idx="6">
                  <c:v>3</c:v>
                </c:pt>
                <c:pt idx="7">
                  <c:v>2.95</c:v>
                </c:pt>
                <c:pt idx="8">
                  <c:v>2.87</c:v>
                </c:pt>
                <c:pt idx="9">
                  <c:v>2.71</c:v>
                </c:pt>
                <c:pt idx="10">
                  <c:v>2.49</c:v>
                </c:pt>
                <c:pt idx="11">
                  <c:v>1.66</c:v>
                </c:pt>
                <c:pt idx="12">
                  <c:v>1.04</c:v>
                </c:pt>
                <c:pt idx="13">
                  <c:v>0.59</c:v>
                </c:pt>
                <c:pt idx="14">
                  <c:v>0.51</c:v>
                </c:pt>
              </c:strCache>
            </c:strRef>
          </c:tx>
          <c:marker>
            <c:symbol val="none"/>
          </c:marker>
          <c:cat>
            <c:numRef>
              <c:f>Sheet1!$Z$42:$Z$55</c:f>
              <c:numCache>
                <c:formatCode>General</c:formatCode>
                <c:ptCount val="14"/>
                <c:pt idx="0">
                  <c:v>4.7</c:v>
                </c:pt>
                <c:pt idx="1">
                  <c:v>10</c:v>
                </c:pt>
                <c:pt idx="2">
                  <c:v>22</c:v>
                </c:pt>
                <c:pt idx="3">
                  <c:v>47</c:v>
                </c:pt>
                <c:pt idx="4">
                  <c:v>68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220</c:v>
                </c:pt>
                <c:pt idx="9">
                  <c:v>330</c:v>
                </c:pt>
                <c:pt idx="10">
                  <c:v>1000</c:v>
                </c:pt>
                <c:pt idx="11">
                  <c:v>2200</c:v>
                </c:pt>
                <c:pt idx="12">
                  <c:v>4700</c:v>
                </c:pt>
                <c:pt idx="13">
                  <c:v>5500</c:v>
                </c:pt>
              </c:numCache>
            </c:numRef>
          </c:cat>
          <c:val>
            <c:numRef>
              <c:f>Sheet1!$AC$42:$AC$55</c:f>
              <c:numCache>
                <c:formatCode>General</c:formatCode>
                <c:ptCount val="14"/>
                <c:pt idx="0">
                  <c:v>3.28</c:v>
                </c:pt>
                <c:pt idx="1">
                  <c:v>3.27</c:v>
                </c:pt>
                <c:pt idx="2">
                  <c:v>3.23</c:v>
                </c:pt>
                <c:pt idx="3">
                  <c:v>3.15</c:v>
                </c:pt>
                <c:pt idx="4">
                  <c:v>3.09</c:v>
                </c:pt>
                <c:pt idx="5">
                  <c:v>3</c:v>
                </c:pt>
                <c:pt idx="6">
                  <c:v>2.95</c:v>
                </c:pt>
                <c:pt idx="7">
                  <c:v>2.87</c:v>
                </c:pt>
                <c:pt idx="8">
                  <c:v>2.71</c:v>
                </c:pt>
                <c:pt idx="9">
                  <c:v>2.4900000000000002</c:v>
                </c:pt>
                <c:pt idx="10">
                  <c:v>1.66</c:v>
                </c:pt>
                <c:pt idx="11">
                  <c:v>1.04</c:v>
                </c:pt>
                <c:pt idx="12">
                  <c:v>0.59</c:v>
                </c:pt>
                <c:pt idx="1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1-45AB-9E9D-327984DC5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110160"/>
        <c:axId val="1245106800"/>
      </c:lineChart>
      <c:catAx>
        <c:axId val="124511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06800"/>
        <c:crosses val="autoZero"/>
        <c:auto val="1"/>
        <c:lblAlgn val="ctr"/>
        <c:lblOffset val="100"/>
        <c:noMultiLvlLbl val="0"/>
      </c:catAx>
      <c:valAx>
        <c:axId val="124510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11016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Voltage</a:t>
            </a:r>
            <a:r>
              <a:rPr lang="en-US" baseline="0"/>
              <a:t> Ranges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Sheet1!$AI$63:$AI$76</c:f>
              <c:numCache>
                <c:formatCode>General</c:formatCode>
                <c:ptCount val="14"/>
                <c:pt idx="0">
                  <c:v>4.7</c:v>
                </c:pt>
                <c:pt idx="1">
                  <c:v>10</c:v>
                </c:pt>
                <c:pt idx="2">
                  <c:v>22</c:v>
                </c:pt>
                <c:pt idx="3">
                  <c:v>47</c:v>
                </c:pt>
                <c:pt idx="4">
                  <c:v>68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220</c:v>
                </c:pt>
                <c:pt idx="9">
                  <c:v>330</c:v>
                </c:pt>
                <c:pt idx="10">
                  <c:v>1000</c:v>
                </c:pt>
                <c:pt idx="11">
                  <c:v>2200</c:v>
                </c:pt>
                <c:pt idx="12">
                  <c:v>4700</c:v>
                </c:pt>
                <c:pt idx="13">
                  <c:v>5500</c:v>
                </c:pt>
              </c:numCache>
            </c:numRef>
          </c:cat>
          <c:val>
            <c:numRef>
              <c:f>Sheet1!$AB$42:$AB$55</c:f>
              <c:numCache>
                <c:formatCode>General</c:formatCode>
                <c:ptCount val="14"/>
                <c:pt idx="0">
                  <c:v>3.28</c:v>
                </c:pt>
                <c:pt idx="1">
                  <c:v>3.26</c:v>
                </c:pt>
                <c:pt idx="2">
                  <c:v>3.23</c:v>
                </c:pt>
                <c:pt idx="3">
                  <c:v>3.15</c:v>
                </c:pt>
                <c:pt idx="4">
                  <c:v>3.09</c:v>
                </c:pt>
                <c:pt idx="5">
                  <c:v>3</c:v>
                </c:pt>
                <c:pt idx="6">
                  <c:v>2.95</c:v>
                </c:pt>
                <c:pt idx="7">
                  <c:v>2.88</c:v>
                </c:pt>
                <c:pt idx="8">
                  <c:v>2.71</c:v>
                </c:pt>
                <c:pt idx="9">
                  <c:v>2.4900000000000002</c:v>
                </c:pt>
                <c:pt idx="10">
                  <c:v>1.67</c:v>
                </c:pt>
                <c:pt idx="11">
                  <c:v>1.05</c:v>
                </c:pt>
                <c:pt idx="12">
                  <c:v>0.59</c:v>
                </c:pt>
                <c:pt idx="1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19-494F-9BF3-72832A893468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Sheet1!$AI$63:$AI$76</c:f>
              <c:numCache>
                <c:formatCode>General</c:formatCode>
                <c:ptCount val="14"/>
                <c:pt idx="0">
                  <c:v>4.7</c:v>
                </c:pt>
                <c:pt idx="1">
                  <c:v>10</c:v>
                </c:pt>
                <c:pt idx="2">
                  <c:v>22</c:v>
                </c:pt>
                <c:pt idx="3">
                  <c:v>47</c:v>
                </c:pt>
                <c:pt idx="4">
                  <c:v>68</c:v>
                </c:pt>
                <c:pt idx="5">
                  <c:v>100</c:v>
                </c:pt>
                <c:pt idx="6">
                  <c:v>120</c:v>
                </c:pt>
                <c:pt idx="7">
                  <c:v>150</c:v>
                </c:pt>
                <c:pt idx="8">
                  <c:v>220</c:v>
                </c:pt>
                <c:pt idx="9">
                  <c:v>330</c:v>
                </c:pt>
                <c:pt idx="10">
                  <c:v>1000</c:v>
                </c:pt>
                <c:pt idx="11">
                  <c:v>2200</c:v>
                </c:pt>
                <c:pt idx="12">
                  <c:v>4700</c:v>
                </c:pt>
                <c:pt idx="13">
                  <c:v>5500</c:v>
                </c:pt>
              </c:numCache>
            </c:numRef>
          </c:cat>
          <c:val>
            <c:numRef>
              <c:f>Sheet1!$AC$42:$AC$55</c:f>
              <c:numCache>
                <c:formatCode>General</c:formatCode>
                <c:ptCount val="14"/>
                <c:pt idx="0">
                  <c:v>3.28</c:v>
                </c:pt>
                <c:pt idx="1">
                  <c:v>3.27</c:v>
                </c:pt>
                <c:pt idx="2">
                  <c:v>3.23</c:v>
                </c:pt>
                <c:pt idx="3">
                  <c:v>3.15</c:v>
                </c:pt>
                <c:pt idx="4">
                  <c:v>3.09</c:v>
                </c:pt>
                <c:pt idx="5">
                  <c:v>3</c:v>
                </c:pt>
                <c:pt idx="6">
                  <c:v>2.95</c:v>
                </c:pt>
                <c:pt idx="7">
                  <c:v>2.87</c:v>
                </c:pt>
                <c:pt idx="8">
                  <c:v>2.71</c:v>
                </c:pt>
                <c:pt idx="9">
                  <c:v>2.4900000000000002</c:v>
                </c:pt>
                <c:pt idx="10">
                  <c:v>1.66</c:v>
                </c:pt>
                <c:pt idx="11">
                  <c:v>1.04</c:v>
                </c:pt>
                <c:pt idx="12">
                  <c:v>0.59</c:v>
                </c:pt>
                <c:pt idx="1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19-494F-9BF3-72832A893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2128272800"/>
        <c:axId val="1727939200"/>
      </c:stockChart>
      <c:catAx>
        <c:axId val="21282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939200"/>
        <c:crosses val="autoZero"/>
        <c:auto val="1"/>
        <c:lblAlgn val="ctr"/>
        <c:lblOffset val="100"/>
        <c:noMultiLvlLbl val="0"/>
      </c:catAx>
      <c:valAx>
        <c:axId val="17279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27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198664</xdr:colOff>
      <xdr:row>23</xdr:row>
      <xdr:rowOff>89806</xdr:rowOff>
    </xdr:from>
    <xdr:to>
      <xdr:col>17</xdr:col>
      <xdr:colOff>198664</xdr:colOff>
      <xdr:row>38</xdr:row>
      <xdr:rowOff>57149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11AE7F-1497-B40A-956C-2191AD841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688521</xdr:colOff>
      <xdr:row>7</xdr:row>
      <xdr:rowOff>100693</xdr:rowOff>
    </xdr:from>
    <xdr:to>
      <xdr:col>14</xdr:col>
      <xdr:colOff>340178</xdr:colOff>
      <xdr:row>22</xdr:row>
      <xdr:rowOff>68036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049E4A2-A79D-85FF-E2BD-177B5948B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276225</xdr:colOff>
      <xdr:row>5</xdr:row>
      <xdr:rowOff>161925</xdr:rowOff>
    </xdr:from>
    <xdr:to>
      <xdr:col>37</xdr:col>
      <xdr:colOff>261257</xdr:colOff>
      <xdr:row>20</xdr:row>
      <xdr:rowOff>129268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28EA4-8277-47A8-99A3-60C9ABFA03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108857</xdr:colOff>
      <xdr:row>60</xdr:row>
      <xdr:rowOff>171448</xdr:rowOff>
    </xdr:from>
    <xdr:to>
      <xdr:col>33</xdr:col>
      <xdr:colOff>220436</xdr:colOff>
      <xdr:row>75</xdr:row>
      <xdr:rowOff>138791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4EF119-DF81-5A63-3A2E-FF0A9C381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117021</xdr:colOff>
      <xdr:row>76</xdr:row>
      <xdr:rowOff>40821</xdr:rowOff>
    </xdr:from>
    <xdr:to>
      <xdr:col>33</xdr:col>
      <xdr:colOff>223157</xdr:colOff>
      <xdr:row>91</xdr:row>
      <xdr:rowOff>8164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6ECFC5-4A96-9349-7349-ADC4AD8FB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364671</xdr:colOff>
      <xdr:row>35</xdr:row>
      <xdr:rowOff>5443</xdr:rowOff>
    </xdr:from>
    <xdr:to>
      <xdr:col>23</xdr:col>
      <xdr:colOff>476249</xdr:colOff>
      <xdr:row>49</xdr:row>
      <xdr:rowOff>157843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1BAC27-5B7C-44BD-895A-B0728DE54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353786</xdr:colOff>
      <xdr:row>50</xdr:row>
      <xdr:rowOff>32658</xdr:rowOff>
    </xdr:from>
    <xdr:to>
      <xdr:col>23</xdr:col>
      <xdr:colOff>459921</xdr:colOff>
      <xdr:row>65</xdr:row>
      <xdr:rowOff>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D3808C-D169-4CEF-9558-D35B20465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DF917-5B15-4042-869F-F16C86C9FA80}">
  <dimension ref="A1:AO94"/>
  <sheetViews>
    <sheetView tabSelected="1" topLeftCell="A4" workbookViewId="0">
      <selection activeCell="Q21" sqref="Q21"/>
    </sheetView>
  </sheetViews>
  <sheetFormatPr defaultRowHeight="14.6" x14ac:dyDescent="0.4"/>
  <cols>
    <col min="1" max="8" width="14.15234375" customWidth="1"/>
  </cols>
  <sheetData>
    <row r="1" spans="1:39" x14ac:dyDescent="0.4">
      <c r="A1" t="s">
        <v>0</v>
      </c>
      <c r="E1" t="s">
        <v>34</v>
      </c>
      <c r="G1">
        <f>C3 / 4096</f>
        <v>8.0566406249999996E-4</v>
      </c>
      <c r="H1" t="s">
        <v>38</v>
      </c>
      <c r="I1">
        <v>2</v>
      </c>
      <c r="R1" t="s">
        <v>44</v>
      </c>
      <c r="X1" t="s">
        <v>49</v>
      </c>
      <c r="Y1">
        <f>$C$3/Y4 * 1000</f>
        <v>2.1999999999999997</v>
      </c>
      <c r="Z1" t="s">
        <v>50</v>
      </c>
      <c r="AA1" t="s">
        <v>41</v>
      </c>
      <c r="AC1">
        <v>120</v>
      </c>
      <c r="AG1" t="s">
        <v>46</v>
      </c>
      <c r="AH1" t="s">
        <v>47</v>
      </c>
      <c r="AI1" t="s">
        <v>48</v>
      </c>
      <c r="AJ1" t="s">
        <v>37</v>
      </c>
      <c r="AL1" t="s">
        <v>60</v>
      </c>
    </row>
    <row r="2" spans="1:39" x14ac:dyDescent="0.4">
      <c r="B2" t="s">
        <v>36</v>
      </c>
      <c r="C2">
        <v>30</v>
      </c>
      <c r="E2" t="s">
        <v>35</v>
      </c>
      <c r="G2">
        <f>G3 *I1</f>
        <v>0.22</v>
      </c>
      <c r="I2" t="s">
        <v>41</v>
      </c>
      <c r="K2">
        <v>47000</v>
      </c>
      <c r="X2" t="s">
        <v>59</v>
      </c>
      <c r="Y2">
        <v>0.2</v>
      </c>
      <c r="AA2" t="s">
        <v>42</v>
      </c>
      <c r="AC2">
        <v>0.10299999999999999</v>
      </c>
      <c r="AF2" t="s">
        <v>27</v>
      </c>
      <c r="AG2">
        <f>AVERAGE(Z$6:Z$35)</f>
        <v>4149</v>
      </c>
      <c r="AH2">
        <f t="shared" ref="AH2:AJ2" si="0">AVERAGE(AA$6:AA$35)</f>
        <v>1.6794204921784652</v>
      </c>
      <c r="AI2">
        <f t="shared" si="0"/>
        <v>0.10721147411460015</v>
      </c>
      <c r="AJ2">
        <f t="shared" si="0"/>
        <v>-0.51267511766090834</v>
      </c>
      <c r="AL2" t="s">
        <v>61</v>
      </c>
      <c r="AM2" s="2">
        <f>AI5/3.3*4096</f>
        <v>47.407407407407653</v>
      </c>
    </row>
    <row r="3" spans="1:39" x14ac:dyDescent="0.4">
      <c r="B3" t="s">
        <v>3</v>
      </c>
      <c r="C3">
        <v>3.3</v>
      </c>
      <c r="D3" t="s">
        <v>23</v>
      </c>
      <c r="E3" t="s">
        <v>39</v>
      </c>
      <c r="G3">
        <f>(C3/C2)</f>
        <v>0.11</v>
      </c>
      <c r="I3" t="s">
        <v>42</v>
      </c>
      <c r="K3">
        <v>0.13800000000000001</v>
      </c>
      <c r="AA3" t="s">
        <v>43</v>
      </c>
      <c r="AC3">
        <v>-0.52</v>
      </c>
      <c r="AD3">
        <v>-0.98</v>
      </c>
      <c r="AF3" t="s">
        <v>28</v>
      </c>
      <c r="AG3">
        <f>MEDIAN(Z$6:Z$35)</f>
        <v>1400</v>
      </c>
      <c r="AH3">
        <f t="shared" ref="AH3:AJ3" si="1">MEDIAN(AA$6:AA$35)</f>
        <v>1.7089285714285714</v>
      </c>
      <c r="AI3">
        <f t="shared" si="1"/>
        <v>0.11017992105326618</v>
      </c>
      <c r="AJ3">
        <f t="shared" si="1"/>
        <v>-0.49918217703060824</v>
      </c>
      <c r="AL3" t="s">
        <v>63</v>
      </c>
      <c r="AM3" s="2">
        <f>AI3/3.3*4096</f>
        <v>136.75665352550857</v>
      </c>
    </row>
    <row r="4" spans="1:39" x14ac:dyDescent="0.4">
      <c r="B4" t="s">
        <v>22</v>
      </c>
      <c r="C4">
        <v>47000</v>
      </c>
      <c r="D4" t="s">
        <v>25</v>
      </c>
      <c r="E4" t="s">
        <v>40</v>
      </c>
      <c r="G4">
        <f>MIN(G6:G20)</f>
        <v>-0.37215618010951101</v>
      </c>
      <c r="I4" t="s">
        <v>43</v>
      </c>
      <c r="K4">
        <v>-0.372</v>
      </c>
      <c r="Q4" t="s">
        <v>45</v>
      </c>
      <c r="X4" t="s">
        <v>22</v>
      </c>
      <c r="Y4">
        <v>1500</v>
      </c>
      <c r="Z4" t="s">
        <v>25</v>
      </c>
      <c r="AF4" t="s">
        <v>30</v>
      </c>
      <c r="AG4">
        <f>MAX(Z$6:Z$35)</f>
        <v>22000</v>
      </c>
      <c r="AH4">
        <f t="shared" ref="AH4:AJ4" si="2">MAX(AA$6:AA$35)</f>
        <v>3.09375</v>
      </c>
      <c r="AI4">
        <f t="shared" si="2"/>
        <v>0.16216216216216206</v>
      </c>
      <c r="AJ4">
        <f t="shared" si="2"/>
        <v>-0.26289926289926335</v>
      </c>
      <c r="AL4" t="s">
        <v>64</v>
      </c>
      <c r="AM4" s="2">
        <f>AI2/3.3*4096</f>
        <v>133.07218120406128</v>
      </c>
    </row>
    <row r="5" spans="1:39" x14ac:dyDescent="0.4">
      <c r="B5" t="s">
        <v>1</v>
      </c>
      <c r="C5" t="s">
        <v>2</v>
      </c>
      <c r="D5" t="s">
        <v>24</v>
      </c>
      <c r="E5" t="s">
        <v>20</v>
      </c>
      <c r="F5" t="s">
        <v>26</v>
      </c>
      <c r="G5" t="s">
        <v>37</v>
      </c>
      <c r="H5" t="s">
        <v>21</v>
      </c>
      <c r="I5" t="s">
        <v>13</v>
      </c>
      <c r="Q5">
        <v>100</v>
      </c>
      <c r="S5">
        <v>220</v>
      </c>
      <c r="T5">
        <v>10</v>
      </c>
      <c r="X5" t="s">
        <v>1</v>
      </c>
      <c r="Y5" t="s">
        <v>2</v>
      </c>
      <c r="Z5" t="s">
        <v>24</v>
      </c>
      <c r="AA5" t="s">
        <v>20</v>
      </c>
      <c r="AB5" t="s">
        <v>26</v>
      </c>
      <c r="AC5" t="s">
        <v>37</v>
      </c>
      <c r="AF5" t="s">
        <v>51</v>
      </c>
      <c r="AG5">
        <f t="shared" ref="AG5:AI5" si="3">MIN(Z$6:Z$35)</f>
        <v>100</v>
      </c>
      <c r="AH5">
        <f t="shared" si="3"/>
        <v>0.21063829787234042</v>
      </c>
      <c r="AI5">
        <f t="shared" si="3"/>
        <v>3.8194444444444642E-2</v>
      </c>
      <c r="AJ5">
        <f>MIN(AC$6:AC$35)</f>
        <v>-0.82638888888888795</v>
      </c>
      <c r="AL5" t="s">
        <v>62</v>
      </c>
      <c r="AM5" s="2">
        <f>AI4/3.3*4096</f>
        <v>201.27764127764115</v>
      </c>
    </row>
    <row r="6" spans="1:39" x14ac:dyDescent="0.4">
      <c r="C6" t="s">
        <v>6</v>
      </c>
      <c r="D6">
        <f>AVERAGE(I6:M6)</f>
        <v>4598</v>
      </c>
      <c r="E6">
        <f t="shared" ref="E6:E20" si="4">$C$3*$C$4/(D6+$C$4)</f>
        <v>3.0059304624210239</v>
      </c>
      <c r="F6">
        <f>E6 - E7</f>
        <v>0.18746780568833277</v>
      </c>
      <c r="G6">
        <f>(F6/$G$2) - 1</f>
        <v>-0.1478736105075783</v>
      </c>
      <c r="I6">
        <v>4650</v>
      </c>
      <c r="J6">
        <v>4530</v>
      </c>
      <c r="K6">
        <v>4620</v>
      </c>
      <c r="L6">
        <v>4580</v>
      </c>
      <c r="M6">
        <v>4610</v>
      </c>
      <c r="Q6">
        <v>200</v>
      </c>
      <c r="S6">
        <v>330</v>
      </c>
      <c r="T6">
        <v>15</v>
      </c>
      <c r="X6">
        <v>1</v>
      </c>
      <c r="Y6" t="s">
        <v>6</v>
      </c>
      <c r="Z6">
        <v>100</v>
      </c>
      <c r="AA6">
        <f>$C$3*$Y$4/(Z6+$Y$4)</f>
        <v>3.09375</v>
      </c>
      <c r="AB6">
        <f>MAX(AA6 - AA7, 0)</f>
        <v>3.8194444444444642E-2</v>
      </c>
      <c r="AC6">
        <f>(AB6/$G$2) - 1</f>
        <v>-0.82638888888888795</v>
      </c>
      <c r="AD6">
        <v>100</v>
      </c>
    </row>
    <row r="7" spans="1:39" x14ac:dyDescent="0.4">
      <c r="C7" t="s">
        <v>8</v>
      </c>
      <c r="D7">
        <v>8030</v>
      </c>
      <c r="E7">
        <f t="shared" si="4"/>
        <v>2.8184626567326911</v>
      </c>
      <c r="F7">
        <f t="shared" ref="F7:F20" si="5">MAX(E6-E7, E7 - E8)</f>
        <v>0.7119843190985744</v>
      </c>
      <c r="G7">
        <f t="shared" ref="G7:G20" si="6">(F7/$G$2) - 1</f>
        <v>2.2362923595389748</v>
      </c>
      <c r="Q7">
        <v>1000</v>
      </c>
      <c r="S7">
        <v>470</v>
      </c>
      <c r="T7">
        <v>22</v>
      </c>
      <c r="U7">
        <v>10</v>
      </c>
      <c r="X7">
        <v>2</v>
      </c>
      <c r="Y7" t="s">
        <v>8</v>
      </c>
      <c r="Z7">
        <v>120</v>
      </c>
      <c r="AA7">
        <f t="shared" ref="AA7:AA33" si="7">$C$3*$Y$4/(Z7+$Y$4)</f>
        <v>3.0555555555555554</v>
      </c>
      <c r="AB7">
        <f>MAX(AA7 - AA8, AA6 - AA7)</f>
        <v>5.5555555555555358E-2</v>
      </c>
      <c r="AC7">
        <f t="shared" ref="AC7:AC33" si="8">(AB7/$G$2) - 1</f>
        <v>-0.74747474747474829</v>
      </c>
      <c r="AD7">
        <v>120</v>
      </c>
    </row>
    <row r="8" spans="1:39" x14ac:dyDescent="0.4">
      <c r="A8" t="s">
        <v>78</v>
      </c>
      <c r="C8" t="s">
        <v>18</v>
      </c>
      <c r="D8">
        <v>26630</v>
      </c>
      <c r="E8">
        <f t="shared" si="4"/>
        <v>2.1064783376341167</v>
      </c>
      <c r="F8">
        <f t="shared" si="5"/>
        <v>0.7119843190985744</v>
      </c>
      <c r="G8">
        <f t="shared" si="6"/>
        <v>2.2362923595389748</v>
      </c>
      <c r="Q8">
        <v>2200</v>
      </c>
      <c r="S8">
        <v>680</v>
      </c>
      <c r="T8">
        <v>33</v>
      </c>
      <c r="U8">
        <v>22</v>
      </c>
      <c r="X8">
        <v>3</v>
      </c>
      <c r="Y8" t="s">
        <v>18</v>
      </c>
      <c r="Z8">
        <v>150</v>
      </c>
      <c r="AA8">
        <f t="shared" si="7"/>
        <v>3</v>
      </c>
      <c r="AB8">
        <f t="shared" ref="AB8:AB34" si="9">MAX(AA8 - AA9, AA7 - AA8)</f>
        <v>5.5555555555555358E-2</v>
      </c>
      <c r="AC8">
        <f t="shared" si="8"/>
        <v>-0.74747474747474829</v>
      </c>
      <c r="AD8">
        <v>150</v>
      </c>
    </row>
    <row r="9" spans="1:39" x14ac:dyDescent="0.4">
      <c r="A9" t="s">
        <v>79</v>
      </c>
      <c r="C9" t="s">
        <v>9</v>
      </c>
      <c r="D9">
        <v>33000</v>
      </c>
      <c r="E9">
        <f t="shared" si="4"/>
        <v>1.93875</v>
      </c>
      <c r="F9">
        <f t="shared" si="5"/>
        <v>0.16772833763411676</v>
      </c>
      <c r="G9">
        <f t="shared" si="6"/>
        <v>-0.23759846529946926</v>
      </c>
      <c r="Q9">
        <v>4700</v>
      </c>
      <c r="S9">
        <v>3300</v>
      </c>
      <c r="T9">
        <v>39</v>
      </c>
      <c r="X9">
        <v>4</v>
      </c>
      <c r="Y9" t="s">
        <v>9</v>
      </c>
      <c r="Z9">
        <v>180</v>
      </c>
      <c r="AA9">
        <f t="shared" si="7"/>
        <v>2.9464285714285716</v>
      </c>
      <c r="AB9">
        <f t="shared" si="9"/>
        <v>5.3571428571428381E-2</v>
      </c>
      <c r="AC9">
        <f t="shared" si="8"/>
        <v>-0.75649350649350733</v>
      </c>
      <c r="AD9">
        <v>180</v>
      </c>
    </row>
    <row r="10" spans="1:39" x14ac:dyDescent="0.4">
      <c r="A10" t="s">
        <v>80</v>
      </c>
      <c r="C10" t="s">
        <v>19</v>
      </c>
      <c r="D10">
        <v>38700</v>
      </c>
      <c r="E10">
        <f t="shared" si="4"/>
        <v>1.8098016336056009</v>
      </c>
      <c r="F10">
        <f t="shared" si="5"/>
        <v>0.17544968418515827</v>
      </c>
      <c r="G10">
        <f t="shared" si="6"/>
        <v>-0.20250143552200783</v>
      </c>
      <c r="Q10">
        <v>5600</v>
      </c>
      <c r="S10">
        <v>33000</v>
      </c>
      <c r="T10">
        <v>47</v>
      </c>
      <c r="X10">
        <v>5</v>
      </c>
      <c r="Y10" t="s">
        <v>19</v>
      </c>
      <c r="Z10">
        <v>200</v>
      </c>
      <c r="AA10">
        <f t="shared" si="7"/>
        <v>2.9117647058823528</v>
      </c>
      <c r="AB10">
        <f t="shared" si="9"/>
        <v>6.6937119675456458E-2</v>
      </c>
      <c r="AC10">
        <f t="shared" si="8"/>
        <v>-0.69574036511156157</v>
      </c>
      <c r="AD10">
        <v>200</v>
      </c>
    </row>
    <row r="11" spans="1:39" x14ac:dyDescent="0.4">
      <c r="A11" t="s">
        <v>82</v>
      </c>
      <c r="C11" t="s">
        <v>17</v>
      </c>
      <c r="D11">
        <v>47900</v>
      </c>
      <c r="E11">
        <f t="shared" si="4"/>
        <v>1.6343519494204426</v>
      </c>
      <c r="F11">
        <f t="shared" si="5"/>
        <v>0.17544968418515827</v>
      </c>
      <c r="G11">
        <f t="shared" si="6"/>
        <v>-0.20250143552200783</v>
      </c>
      <c r="Q11">
        <v>7500</v>
      </c>
      <c r="S11">
        <v>68000</v>
      </c>
      <c r="T11">
        <v>56</v>
      </c>
      <c r="X11">
        <v>6</v>
      </c>
      <c r="Y11" t="s">
        <v>17</v>
      </c>
      <c r="Z11">
        <v>240</v>
      </c>
      <c r="AA11">
        <f t="shared" si="7"/>
        <v>2.8448275862068964</v>
      </c>
      <c r="AB11">
        <f t="shared" si="9"/>
        <v>9.4827586206896353E-2</v>
      </c>
      <c r="AC11">
        <f t="shared" si="8"/>
        <v>-0.56896551724138023</v>
      </c>
      <c r="AD11">
        <v>240</v>
      </c>
    </row>
    <row r="12" spans="1:39" x14ac:dyDescent="0.4">
      <c r="A12" t="s">
        <v>8</v>
      </c>
      <c r="C12" t="s">
        <v>15</v>
      </c>
      <c r="D12">
        <v>56400</v>
      </c>
      <c r="E12">
        <f t="shared" si="4"/>
        <v>1.5</v>
      </c>
      <c r="F12">
        <f t="shared" si="5"/>
        <v>0.14895470383275256</v>
      </c>
      <c r="G12">
        <f t="shared" si="6"/>
        <v>-0.32293316439657926</v>
      </c>
      <c r="Q12">
        <v>10000</v>
      </c>
      <c r="S12">
        <v>330000</v>
      </c>
      <c r="T12">
        <v>68</v>
      </c>
      <c r="X12">
        <v>7</v>
      </c>
      <c r="Y12" t="s">
        <v>15</v>
      </c>
      <c r="Z12">
        <v>300</v>
      </c>
      <c r="AA12">
        <f t="shared" si="7"/>
        <v>2.75</v>
      </c>
      <c r="AB12">
        <f t="shared" si="9"/>
        <v>9.4827586206896353E-2</v>
      </c>
      <c r="AC12">
        <f t="shared" si="8"/>
        <v>-0.56896551724138023</v>
      </c>
      <c r="AD12">
        <v>300</v>
      </c>
    </row>
    <row r="13" spans="1:39" x14ac:dyDescent="0.4">
      <c r="A13" t="s">
        <v>7</v>
      </c>
      <c r="C13" t="s">
        <v>11</v>
      </c>
      <c r="D13">
        <v>67800</v>
      </c>
      <c r="E13">
        <f t="shared" si="4"/>
        <v>1.3510452961672474</v>
      </c>
      <c r="F13">
        <f t="shared" si="5"/>
        <v>0.14895470383275256</v>
      </c>
      <c r="G13">
        <f t="shared" si="6"/>
        <v>-0.32293316439657926</v>
      </c>
      <c r="Q13">
        <v>22000</v>
      </c>
      <c r="T13">
        <v>100</v>
      </c>
      <c r="X13">
        <v>8</v>
      </c>
      <c r="Y13" t="s">
        <v>11</v>
      </c>
      <c r="Z13">
        <v>360</v>
      </c>
      <c r="AA13">
        <f t="shared" si="7"/>
        <v>2.661290322580645</v>
      </c>
      <c r="AB13">
        <f t="shared" si="9"/>
        <v>9.652348320240689E-2</v>
      </c>
      <c r="AC13">
        <f t="shared" si="8"/>
        <v>-0.56125689453451422</v>
      </c>
      <c r="AD13">
        <v>360</v>
      </c>
    </row>
    <row r="14" spans="1:39" x14ac:dyDescent="0.4">
      <c r="A14" t="s">
        <v>83</v>
      </c>
      <c r="C14" t="s">
        <v>10</v>
      </c>
      <c r="D14">
        <v>81400</v>
      </c>
      <c r="E14">
        <f t="shared" si="4"/>
        <v>1.2079439252336448</v>
      </c>
      <c r="F14">
        <f t="shared" si="5"/>
        <v>0.1470684122377488</v>
      </c>
      <c r="G14">
        <f t="shared" si="6"/>
        <v>-0.33150721710114184</v>
      </c>
      <c r="Q14">
        <v>47000</v>
      </c>
      <c r="T14">
        <v>120</v>
      </c>
      <c r="X14">
        <v>9</v>
      </c>
      <c r="Y14" t="s">
        <v>10</v>
      </c>
      <c r="Z14">
        <v>430</v>
      </c>
      <c r="AA14">
        <f t="shared" si="7"/>
        <v>2.5647668393782381</v>
      </c>
      <c r="AB14">
        <f t="shared" si="9"/>
        <v>0.10208027221405924</v>
      </c>
      <c r="AC14">
        <f t="shared" si="8"/>
        <v>-0.5359987626633671</v>
      </c>
      <c r="AD14">
        <v>430</v>
      </c>
    </row>
    <row r="15" spans="1:39" x14ac:dyDescent="0.4">
      <c r="A15" t="s">
        <v>84</v>
      </c>
      <c r="C15" t="s">
        <v>5</v>
      </c>
      <c r="D15">
        <v>99200</v>
      </c>
      <c r="E15">
        <f t="shared" si="4"/>
        <v>1.060875512995896</v>
      </c>
      <c r="F15">
        <f t="shared" si="5"/>
        <v>0.1470684122377488</v>
      </c>
      <c r="G15">
        <f t="shared" si="6"/>
        <v>-0.33150721710114184</v>
      </c>
      <c r="Q15">
        <v>100000</v>
      </c>
      <c r="T15">
        <v>150</v>
      </c>
      <c r="X15">
        <v>10</v>
      </c>
      <c r="Y15" t="s">
        <v>5</v>
      </c>
      <c r="Z15">
        <v>510</v>
      </c>
      <c r="AA15">
        <f t="shared" si="7"/>
        <v>2.4626865671641789</v>
      </c>
      <c r="AB15">
        <f t="shared" si="9"/>
        <v>0.1277809067868203</v>
      </c>
      <c r="AC15">
        <f t="shared" si="8"/>
        <v>-0.41917769642354408</v>
      </c>
      <c r="AD15">
        <v>510</v>
      </c>
    </row>
    <row r="16" spans="1:39" x14ac:dyDescent="0.4">
      <c r="A16" t="s">
        <v>81</v>
      </c>
      <c r="C16" t="s">
        <v>7</v>
      </c>
      <c r="D16">
        <v>119800</v>
      </c>
      <c r="E16">
        <f t="shared" si="4"/>
        <v>0.92985611510791366</v>
      </c>
      <c r="F16">
        <f t="shared" si="5"/>
        <v>0.13812564037590758</v>
      </c>
      <c r="G16">
        <f t="shared" si="6"/>
        <v>-0.37215618010951101</v>
      </c>
      <c r="Q16">
        <v>220000</v>
      </c>
      <c r="T16">
        <v>220</v>
      </c>
      <c r="X16">
        <v>11</v>
      </c>
      <c r="Y16" t="s">
        <v>7</v>
      </c>
      <c r="Z16">
        <v>620</v>
      </c>
      <c r="AA16">
        <f t="shared" si="7"/>
        <v>2.3349056603773586</v>
      </c>
      <c r="AB16">
        <f t="shared" si="9"/>
        <v>0.13490566037735841</v>
      </c>
      <c r="AC16">
        <f t="shared" si="8"/>
        <v>-0.38679245283018904</v>
      </c>
      <c r="AD16">
        <v>620</v>
      </c>
    </row>
    <row r="17" spans="1:39" x14ac:dyDescent="0.4">
      <c r="A17" t="s">
        <v>85</v>
      </c>
      <c r="C17" t="s">
        <v>14</v>
      </c>
      <c r="D17">
        <v>148900</v>
      </c>
      <c r="E17">
        <f t="shared" si="4"/>
        <v>0.79173047473200608</v>
      </c>
      <c r="F17">
        <f t="shared" si="5"/>
        <v>0.20996003212135339</v>
      </c>
      <c r="G17">
        <f t="shared" si="6"/>
        <v>-4.5636217630211862E-2</v>
      </c>
      <c r="Q17">
        <v>470000</v>
      </c>
      <c r="T17">
        <v>330</v>
      </c>
      <c r="X17">
        <v>12</v>
      </c>
      <c r="Y17" t="s">
        <v>14</v>
      </c>
      <c r="Z17">
        <v>750</v>
      </c>
      <c r="AA17">
        <f t="shared" si="7"/>
        <v>2.2000000000000002</v>
      </c>
      <c r="AB17">
        <f t="shared" si="9"/>
        <v>0.14605809128630742</v>
      </c>
      <c r="AC17">
        <f t="shared" si="8"/>
        <v>-0.33609958506223903</v>
      </c>
      <c r="AD17">
        <v>750</v>
      </c>
    </row>
    <row r="18" spans="1:39" x14ac:dyDescent="0.4">
      <c r="A18" t="s">
        <v>19</v>
      </c>
      <c r="C18" t="s">
        <v>12</v>
      </c>
      <c r="D18">
        <v>219600</v>
      </c>
      <c r="E18">
        <f t="shared" si="4"/>
        <v>0.58177044261065269</v>
      </c>
      <c r="F18">
        <f t="shared" si="5"/>
        <v>0.3657537295187307</v>
      </c>
      <c r="G18">
        <f t="shared" si="6"/>
        <v>0.6625169523578669</v>
      </c>
      <c r="T18">
        <v>390</v>
      </c>
      <c r="X18">
        <v>13</v>
      </c>
      <c r="Y18" t="s">
        <v>12</v>
      </c>
      <c r="Z18">
        <v>910</v>
      </c>
      <c r="AA18">
        <f t="shared" si="7"/>
        <v>2.0539419087136928</v>
      </c>
      <c r="AB18">
        <f t="shared" si="9"/>
        <v>0.15009575486753901</v>
      </c>
      <c r="AC18">
        <f t="shared" si="8"/>
        <v>-0.31774656878391361</v>
      </c>
      <c r="AD18">
        <v>910</v>
      </c>
    </row>
    <row r="19" spans="1:39" x14ac:dyDescent="0.4">
      <c r="A19" t="s">
        <v>4</v>
      </c>
      <c r="C19" t="s">
        <v>4</v>
      </c>
      <c r="D19">
        <v>671000</v>
      </c>
      <c r="E19">
        <f t="shared" si="4"/>
        <v>0.216016713091922</v>
      </c>
      <c r="F19">
        <f t="shared" si="5"/>
        <v>0.3657537295187307</v>
      </c>
      <c r="G19">
        <f t="shared" si="6"/>
        <v>0.6625169523578669</v>
      </c>
      <c r="T19">
        <v>470</v>
      </c>
      <c r="X19">
        <v>14</v>
      </c>
      <c r="Y19" t="s">
        <v>4</v>
      </c>
      <c r="Z19">
        <v>1100</v>
      </c>
      <c r="AA19">
        <f t="shared" si="7"/>
        <v>1.9038461538461537</v>
      </c>
      <c r="AB19">
        <f t="shared" si="9"/>
        <v>0.15009575486753901</v>
      </c>
      <c r="AC19">
        <f t="shared" si="8"/>
        <v>-0.31774656878391361</v>
      </c>
      <c r="AD19">
        <v>1100</v>
      </c>
    </row>
    <row r="20" spans="1:39" x14ac:dyDescent="0.4">
      <c r="A20" t="s">
        <v>86</v>
      </c>
      <c r="C20" t="s">
        <v>16</v>
      </c>
      <c r="D20">
        <v>872000</v>
      </c>
      <c r="E20">
        <f t="shared" si="4"/>
        <v>0.16877040261153428</v>
      </c>
      <c r="F20">
        <f t="shared" si="5"/>
        <v>0.16877040261153428</v>
      </c>
      <c r="G20">
        <f t="shared" si="6"/>
        <v>-0.23286180631120779</v>
      </c>
      <c r="T20">
        <v>510</v>
      </c>
      <c r="X20">
        <v>15</v>
      </c>
      <c r="Y20" t="s">
        <v>16</v>
      </c>
      <c r="Z20">
        <v>1300</v>
      </c>
      <c r="AA20">
        <f t="shared" si="7"/>
        <v>1.7678571428571428</v>
      </c>
      <c r="AB20">
        <f t="shared" si="9"/>
        <v>0.13598901098901095</v>
      </c>
      <c r="AC20">
        <f t="shared" si="8"/>
        <v>-0.38186813186813207</v>
      </c>
      <c r="AD20">
        <v>1300</v>
      </c>
    </row>
    <row r="21" spans="1:39" x14ac:dyDescent="0.4">
      <c r="A21" t="s">
        <v>87</v>
      </c>
      <c r="T21">
        <v>680</v>
      </c>
      <c r="X21">
        <v>16</v>
      </c>
      <c r="Z21">
        <v>1500</v>
      </c>
      <c r="AA21">
        <f t="shared" si="7"/>
        <v>1.65</v>
      </c>
      <c r="AB21">
        <f t="shared" si="9"/>
        <v>0.14999999999999991</v>
      </c>
      <c r="AC21">
        <f t="shared" si="8"/>
        <v>-0.31818181818181857</v>
      </c>
      <c r="AD21">
        <v>1500</v>
      </c>
    </row>
    <row r="22" spans="1:39" x14ac:dyDescent="0.4">
      <c r="A22" t="s">
        <v>88</v>
      </c>
      <c r="C22" t="s">
        <v>27</v>
      </c>
      <c r="D22">
        <f>AVERAGE(D6:D20)</f>
        <v>166330.53333333333</v>
      </c>
      <c r="E22">
        <f>AVERAGE(E6:E20)</f>
        <v>1.4081189281576463</v>
      </c>
      <c r="F22">
        <f>AVERAGE(F6:F20)</f>
        <v>0.26469826107847827</v>
      </c>
      <c r="T22">
        <v>1500</v>
      </c>
      <c r="X22">
        <v>17</v>
      </c>
      <c r="Z22">
        <v>1800</v>
      </c>
      <c r="AA22">
        <f t="shared" si="7"/>
        <v>1.5</v>
      </c>
      <c r="AB22">
        <f t="shared" si="9"/>
        <v>0.16216216216216206</v>
      </c>
      <c r="AC22">
        <f t="shared" si="8"/>
        <v>-0.26289926289926335</v>
      </c>
      <c r="AD22">
        <v>1800</v>
      </c>
    </row>
    <row r="23" spans="1:39" x14ac:dyDescent="0.4">
      <c r="A23" t="s">
        <v>89</v>
      </c>
      <c r="C23" t="s">
        <v>28</v>
      </c>
      <c r="D23">
        <f>MEDIAN(D6:D20)</f>
        <v>67800</v>
      </c>
      <c r="E23">
        <f>MEDIAN(E6:E20)</f>
        <v>1.3510452961672474</v>
      </c>
      <c r="F23">
        <f>MEDIAN(F6:F20)</f>
        <v>0.17544968418515827</v>
      </c>
      <c r="T23">
        <v>2000</v>
      </c>
      <c r="X23">
        <v>18</v>
      </c>
      <c r="Z23">
        <v>2200</v>
      </c>
      <c r="AA23">
        <f t="shared" si="7"/>
        <v>1.3378378378378379</v>
      </c>
      <c r="AB23">
        <f t="shared" si="9"/>
        <v>0.16216216216216206</v>
      </c>
      <c r="AC23">
        <f t="shared" si="8"/>
        <v>-0.26289926289926335</v>
      </c>
      <c r="AD23">
        <v>2200</v>
      </c>
    </row>
    <row r="24" spans="1:39" x14ac:dyDescent="0.4">
      <c r="A24" t="s">
        <v>90</v>
      </c>
      <c r="C24" t="s">
        <v>30</v>
      </c>
      <c r="D24">
        <f>MAX(D6:D20)</f>
        <v>872000</v>
      </c>
      <c r="E24">
        <f t="shared" ref="E24:F24" si="10">MAX(E6:E20)</f>
        <v>3.0059304624210239</v>
      </c>
      <c r="F24">
        <f t="shared" si="10"/>
        <v>0.7119843190985744</v>
      </c>
      <c r="T24">
        <v>2200</v>
      </c>
      <c r="X24">
        <v>19</v>
      </c>
      <c r="Z24">
        <v>2700</v>
      </c>
      <c r="AA24">
        <f t="shared" si="7"/>
        <v>1.1785714285714286</v>
      </c>
      <c r="AB24">
        <f t="shared" si="9"/>
        <v>0.15926640926640934</v>
      </c>
      <c r="AC24">
        <f t="shared" si="8"/>
        <v>-0.27606177606177573</v>
      </c>
      <c r="AD24">
        <v>2700</v>
      </c>
      <c r="AE24" t="s">
        <v>58</v>
      </c>
      <c r="AF24" t="s">
        <v>52</v>
      </c>
      <c r="AG24" t="s">
        <v>57</v>
      </c>
      <c r="AH24" t="s">
        <v>53</v>
      </c>
      <c r="AI24" t="s">
        <v>54</v>
      </c>
      <c r="AJ24" t="s">
        <v>55</v>
      </c>
      <c r="AK24" t="s">
        <v>56</v>
      </c>
      <c r="AL24" t="s">
        <v>65</v>
      </c>
    </row>
    <row r="25" spans="1:39" x14ac:dyDescent="0.4">
      <c r="A25" t="s">
        <v>9</v>
      </c>
      <c r="T25">
        <v>3000</v>
      </c>
      <c r="X25">
        <v>20</v>
      </c>
      <c r="Z25">
        <v>3300</v>
      </c>
      <c r="AA25">
        <f t="shared" si="7"/>
        <v>1.03125</v>
      </c>
      <c r="AB25">
        <f t="shared" si="9"/>
        <v>0.1473214285714286</v>
      </c>
      <c r="AC25">
        <f t="shared" si="8"/>
        <v>-0.33035714285714268</v>
      </c>
      <c r="AD25">
        <v>3300</v>
      </c>
      <c r="AE25">
        <v>0.1</v>
      </c>
      <c r="AF25">
        <v>100</v>
      </c>
      <c r="AG25">
        <v>1586</v>
      </c>
      <c r="AH25">
        <v>400</v>
      </c>
      <c r="AI25">
        <v>5.0999999999999997E-2</v>
      </c>
      <c r="AJ25">
        <v>-0.67900000000000005</v>
      </c>
      <c r="AK25">
        <v>-0.76400000000000001</v>
      </c>
      <c r="AL25">
        <v>64</v>
      </c>
    </row>
    <row r="26" spans="1:39" x14ac:dyDescent="0.4">
      <c r="A26" t="s">
        <v>91</v>
      </c>
      <c r="D26" t="s">
        <v>29</v>
      </c>
      <c r="E26" t="s">
        <v>29</v>
      </c>
      <c r="F26" t="s">
        <v>29</v>
      </c>
      <c r="H26" t="s">
        <v>31</v>
      </c>
      <c r="I26" t="s">
        <v>32</v>
      </c>
      <c r="J26" t="s">
        <v>33</v>
      </c>
      <c r="T26">
        <v>4700</v>
      </c>
      <c r="X26">
        <v>21</v>
      </c>
      <c r="Z26">
        <v>3900</v>
      </c>
      <c r="AA26">
        <f t="shared" si="7"/>
        <v>0.91666666666666663</v>
      </c>
      <c r="AB26">
        <f t="shared" si="9"/>
        <v>0.11827956989247312</v>
      </c>
      <c r="AC26">
        <f t="shared" si="8"/>
        <v>-0.46236559139784938</v>
      </c>
      <c r="AD26">
        <v>3900</v>
      </c>
      <c r="AE26">
        <v>0.1</v>
      </c>
      <c r="AF26">
        <v>4700</v>
      </c>
      <c r="AG26">
        <v>74557</v>
      </c>
      <c r="AH26">
        <v>18000</v>
      </c>
      <c r="AI26">
        <v>0.05</v>
      </c>
      <c r="AJ26">
        <v>-0.67900000000000005</v>
      </c>
      <c r="AK26">
        <v>-0.76900000000000002</v>
      </c>
      <c r="AL26">
        <v>64</v>
      </c>
      <c r="AM26">
        <v>87</v>
      </c>
    </row>
    <row r="27" spans="1:39" x14ac:dyDescent="0.4">
      <c r="A27" t="s">
        <v>5</v>
      </c>
      <c r="D27">
        <f>D6/$D$23</f>
        <v>6.7817109144542767E-2</v>
      </c>
      <c r="E27">
        <f>E6/$E$23</f>
        <v>2.2248924376913832</v>
      </c>
      <c r="F27">
        <f>F6/$F$23</f>
        <v>1.0684989634435098</v>
      </c>
      <c r="H27" s="1">
        <f>D6/D$24</f>
        <v>5.2729357798165137E-3</v>
      </c>
      <c r="I27" s="1">
        <f t="shared" ref="I27:I41" si="11">E6/$C$3</f>
        <v>0.91088801891546189</v>
      </c>
      <c r="J27" s="1">
        <f>(F6/F$24)/$C$3</f>
        <v>7.978887237023026E-2</v>
      </c>
      <c r="T27">
        <v>5100</v>
      </c>
      <c r="X27">
        <v>22</v>
      </c>
      <c r="Z27">
        <v>4700</v>
      </c>
      <c r="AA27">
        <f t="shared" si="7"/>
        <v>0.79838709677419351</v>
      </c>
      <c r="AB27">
        <f t="shared" si="9"/>
        <v>0.11827956989247312</v>
      </c>
      <c r="AC27">
        <f t="shared" si="8"/>
        <v>-0.46236559139784938</v>
      </c>
      <c r="AD27">
        <v>4700</v>
      </c>
      <c r="AE27">
        <v>0.1</v>
      </c>
      <c r="AF27">
        <v>20000</v>
      </c>
      <c r="AG27">
        <v>317262</v>
      </c>
      <c r="AH27">
        <v>80000</v>
      </c>
      <c r="AI27">
        <v>5.0999999999999997E-2</v>
      </c>
      <c r="AJ27">
        <v>-0.67900000000000005</v>
      </c>
      <c r="AK27">
        <v>-0.76400000000000001</v>
      </c>
    </row>
    <row r="28" spans="1:39" x14ac:dyDescent="0.4">
      <c r="A28" t="s">
        <v>92</v>
      </c>
      <c r="D28">
        <f t="shared" ref="D28:D41" si="12">D7/$D$23</f>
        <v>0.11843657817109145</v>
      </c>
      <c r="E28">
        <f t="shared" ref="E28:E41" si="13">E7/$E$23</f>
        <v>2.0861348355442484</v>
      </c>
      <c r="F28">
        <f t="shared" ref="F28:F41" si="14">F7/$F$23</f>
        <v>4.0580541504263534</v>
      </c>
      <c r="H28" s="1">
        <f>D7/D$24</f>
        <v>9.2087155963302761E-3</v>
      </c>
      <c r="I28" s="1">
        <f t="shared" si="11"/>
        <v>0.85407959294930036</v>
      </c>
      <c r="J28" s="1">
        <f t="shared" ref="J28:J41" si="15">(F7/F$24)/$C$3</f>
        <v>0.30303030303030304</v>
      </c>
      <c r="T28">
        <v>5600</v>
      </c>
      <c r="X28">
        <v>23</v>
      </c>
      <c r="Z28">
        <v>5100</v>
      </c>
      <c r="AA28">
        <f t="shared" si="7"/>
        <v>0.75</v>
      </c>
      <c r="AB28">
        <f t="shared" si="9"/>
        <v>0.15361445783132532</v>
      </c>
      <c r="AC28">
        <f t="shared" si="8"/>
        <v>-0.30175246440306669</v>
      </c>
      <c r="AD28">
        <v>5100</v>
      </c>
      <c r="AE28">
        <v>0.2</v>
      </c>
      <c r="AF28">
        <v>100</v>
      </c>
      <c r="AG28">
        <v>19781</v>
      </c>
      <c r="AH28">
        <v>1412</v>
      </c>
      <c r="AI28">
        <v>0.04</v>
      </c>
      <c r="AJ28">
        <v>-0.53300000000000003</v>
      </c>
      <c r="AK28">
        <v>-0.81699999999999995</v>
      </c>
      <c r="AL28">
        <v>50</v>
      </c>
      <c r="AM28">
        <v>127</v>
      </c>
    </row>
    <row r="29" spans="1:39" x14ac:dyDescent="0.4">
      <c r="A29" t="s">
        <v>93</v>
      </c>
      <c r="D29">
        <f t="shared" si="12"/>
        <v>0.39277286135693218</v>
      </c>
      <c r="E29">
        <f t="shared" si="13"/>
        <v>1.5591470867852779</v>
      </c>
      <c r="F29">
        <f t="shared" si="14"/>
        <v>4.0580541504263534</v>
      </c>
      <c r="H29" s="1">
        <f t="shared" ref="H29" si="16">D8/D$24</f>
        <v>3.0538990825688072E-2</v>
      </c>
      <c r="I29" s="1">
        <f t="shared" si="11"/>
        <v>0.63832676898003538</v>
      </c>
      <c r="J29" s="1">
        <f t="shared" si="15"/>
        <v>0.30303030303030304</v>
      </c>
      <c r="T29">
        <v>6800</v>
      </c>
      <c r="X29">
        <v>24</v>
      </c>
      <c r="Z29">
        <v>6800</v>
      </c>
      <c r="AA29">
        <f t="shared" si="7"/>
        <v>0.59638554216867468</v>
      </c>
      <c r="AB29">
        <f t="shared" si="9"/>
        <v>0.15361445783132532</v>
      </c>
      <c r="AC29">
        <f t="shared" si="8"/>
        <v>-0.30175246440306669</v>
      </c>
      <c r="AD29">
        <v>6800</v>
      </c>
      <c r="AE29">
        <v>0.2</v>
      </c>
      <c r="AF29">
        <v>4700</v>
      </c>
      <c r="AG29">
        <v>66378</v>
      </c>
      <c r="AH29">
        <v>929724</v>
      </c>
      <c r="AI29">
        <v>0.04</v>
      </c>
      <c r="AJ29">
        <v>-0.53300000000000003</v>
      </c>
      <c r="AK29">
        <v>-0.81699999999999995</v>
      </c>
      <c r="AL29">
        <v>50</v>
      </c>
      <c r="AM29">
        <v>127</v>
      </c>
    </row>
    <row r="30" spans="1:39" x14ac:dyDescent="0.4">
      <c r="A30" t="s">
        <v>94</v>
      </c>
      <c r="D30">
        <f t="shared" si="12"/>
        <v>0.48672566371681414</v>
      </c>
      <c r="E30">
        <f t="shared" si="13"/>
        <v>1.4349999999999998</v>
      </c>
      <c r="F30">
        <f t="shared" si="14"/>
        <v>0.95599110601479964</v>
      </c>
      <c r="H30" s="1">
        <f t="shared" ref="H30" si="17">D9/D$24</f>
        <v>3.7844036697247709E-2</v>
      </c>
      <c r="I30" s="1">
        <f t="shared" si="11"/>
        <v>0.58750000000000002</v>
      </c>
      <c r="J30" s="1">
        <f t="shared" si="15"/>
        <v>7.1387483708048358E-2</v>
      </c>
      <c r="T30">
        <v>7500</v>
      </c>
      <c r="X30">
        <v>25</v>
      </c>
      <c r="Z30">
        <v>8200</v>
      </c>
      <c r="AA30">
        <f t="shared" si="7"/>
        <v>0.51030927835051543</v>
      </c>
      <c r="AB30">
        <f t="shared" si="9"/>
        <v>8.6076263818159249E-2</v>
      </c>
      <c r="AC30">
        <f t="shared" si="8"/>
        <v>-0.6087442553720035</v>
      </c>
      <c r="AD30">
        <v>8200</v>
      </c>
      <c r="AE30">
        <v>0.3</v>
      </c>
      <c r="AF30">
        <v>100</v>
      </c>
      <c r="AG30">
        <v>201538</v>
      </c>
      <c r="AH30">
        <v>4527</v>
      </c>
      <c r="AI30">
        <v>0.02</v>
      </c>
      <c r="AJ30">
        <v>-0.53300000000000003</v>
      </c>
      <c r="AK30">
        <v>-0.90400000000000003</v>
      </c>
      <c r="AL30">
        <v>26</v>
      </c>
      <c r="AM30">
        <v>128</v>
      </c>
    </row>
    <row r="31" spans="1:39" x14ac:dyDescent="0.4">
      <c r="A31" t="s">
        <v>95</v>
      </c>
      <c r="D31">
        <f t="shared" si="12"/>
        <v>0.57079646017699115</v>
      </c>
      <c r="E31">
        <f t="shared" si="13"/>
        <v>1.3395565927654609</v>
      </c>
      <c r="F31">
        <f t="shared" si="14"/>
        <v>1</v>
      </c>
      <c r="H31" s="1">
        <f t="shared" ref="H31" si="18">D10/D$24</f>
        <v>4.4380733944954127E-2</v>
      </c>
      <c r="I31" s="1">
        <f t="shared" si="11"/>
        <v>0.54842473745624276</v>
      </c>
      <c r="J31" s="1">
        <f t="shared" si="15"/>
        <v>7.4673794828111317E-2</v>
      </c>
      <c r="T31">
        <v>8200</v>
      </c>
      <c r="X31">
        <v>26</v>
      </c>
      <c r="Z31">
        <v>10000</v>
      </c>
      <c r="AA31">
        <f t="shared" si="7"/>
        <v>0.43043478260869567</v>
      </c>
      <c r="AB31">
        <f t="shared" si="9"/>
        <v>7.9874495741819762E-2</v>
      </c>
      <c r="AC31">
        <f t="shared" si="8"/>
        <v>-0.63693411026445568</v>
      </c>
      <c r="AD31">
        <v>10000</v>
      </c>
    </row>
    <row r="32" spans="1:39" x14ac:dyDescent="0.4">
      <c r="A32" t="s">
        <v>96</v>
      </c>
      <c r="D32">
        <f t="shared" si="12"/>
        <v>0.70648967551622421</v>
      </c>
      <c r="E32">
        <f t="shared" si="13"/>
        <v>1.2096944151738671</v>
      </c>
      <c r="F32">
        <f t="shared" si="14"/>
        <v>1</v>
      </c>
      <c r="H32" s="1">
        <f t="shared" ref="H32" si="19">D11/D$24</f>
        <v>5.4931192660550458E-2</v>
      </c>
      <c r="I32" s="1">
        <f t="shared" si="11"/>
        <v>0.49525816649104326</v>
      </c>
      <c r="J32" s="1">
        <f t="shared" si="15"/>
        <v>7.4673794828111317E-2</v>
      </c>
      <c r="T32">
        <v>15000</v>
      </c>
      <c r="X32">
        <v>27</v>
      </c>
      <c r="Z32">
        <v>12000</v>
      </c>
      <c r="AA32">
        <f t="shared" si="7"/>
        <v>0.36666666666666664</v>
      </c>
      <c r="AB32">
        <f t="shared" si="9"/>
        <v>6.6666666666666652E-2</v>
      </c>
      <c r="AC32">
        <f t="shared" si="8"/>
        <v>-0.69696969696969702</v>
      </c>
      <c r="AD32">
        <v>12000</v>
      </c>
      <c r="AE32" t="s">
        <v>66</v>
      </c>
      <c r="AF32">
        <v>100</v>
      </c>
      <c r="AG32">
        <v>22000</v>
      </c>
      <c r="AH32">
        <v>1300</v>
      </c>
      <c r="AI32">
        <v>3.7999999999999999E-2</v>
      </c>
      <c r="AJ32">
        <v>-0.5</v>
      </c>
      <c r="AK32">
        <v>-0.82599999999999996</v>
      </c>
      <c r="AL32">
        <v>47</v>
      </c>
      <c r="AM32">
        <v>136</v>
      </c>
    </row>
    <row r="33" spans="4:41" x14ac:dyDescent="0.4">
      <c r="D33">
        <f t="shared" si="12"/>
        <v>0.83185840707964598</v>
      </c>
      <c r="E33">
        <f t="shared" si="13"/>
        <v>1.1102514506769825</v>
      </c>
      <c r="F33">
        <f t="shared" si="14"/>
        <v>0.84898815591799737</v>
      </c>
      <c r="H33" s="1">
        <f t="shared" ref="H33" si="20">D12/D$24</f>
        <v>6.4678899082568811E-2</v>
      </c>
      <c r="I33" s="1">
        <f t="shared" si="11"/>
        <v>0.45454545454545459</v>
      </c>
      <c r="J33" s="1">
        <f t="shared" si="15"/>
        <v>6.3397167366517113E-2</v>
      </c>
      <c r="T33">
        <v>22000</v>
      </c>
      <c r="X33">
        <v>28</v>
      </c>
      <c r="Z33">
        <v>15000</v>
      </c>
      <c r="AA33">
        <f t="shared" si="7"/>
        <v>0.3</v>
      </c>
      <c r="AB33">
        <f t="shared" si="9"/>
        <v>6.6666666666666652E-2</v>
      </c>
      <c r="AC33">
        <f t="shared" si="8"/>
        <v>-0.69696969696969702</v>
      </c>
      <c r="AD33">
        <v>15000</v>
      </c>
      <c r="AE33" t="s">
        <v>67</v>
      </c>
    </row>
    <row r="34" spans="4:41" x14ac:dyDescent="0.4">
      <c r="D34">
        <f t="shared" si="12"/>
        <v>1</v>
      </c>
      <c r="E34">
        <f t="shared" si="13"/>
        <v>1</v>
      </c>
      <c r="F34">
        <f t="shared" si="14"/>
        <v>0.84898815591799737</v>
      </c>
      <c r="H34" s="1">
        <f t="shared" ref="H34" si="21">D13/D$24</f>
        <v>7.7752293577981649E-2</v>
      </c>
      <c r="I34" s="1">
        <f t="shared" si="11"/>
        <v>0.4094076655052265</v>
      </c>
      <c r="J34" s="1">
        <f t="shared" si="15"/>
        <v>6.3397167366517113E-2</v>
      </c>
      <c r="X34">
        <v>29</v>
      </c>
      <c r="Z34">
        <v>18000</v>
      </c>
      <c r="AA34">
        <f>$C$3*$Y$4/(Z34+$Y$4)</f>
        <v>0.25384615384615383</v>
      </c>
      <c r="AB34">
        <f t="shared" si="9"/>
        <v>4.6153846153846156E-2</v>
      </c>
      <c r="AC34">
        <f>(AB34/$G$2) - 1</f>
        <v>-0.79020979020979021</v>
      </c>
      <c r="AD34">
        <v>18000</v>
      </c>
    </row>
    <row r="35" spans="4:41" x14ac:dyDescent="0.4">
      <c r="D35">
        <f t="shared" si="12"/>
        <v>1.2005899705014749</v>
      </c>
      <c r="E35">
        <f t="shared" si="13"/>
        <v>0.89408099688473508</v>
      </c>
      <c r="F35">
        <f t="shared" si="14"/>
        <v>0.83823697329966285</v>
      </c>
      <c r="H35" s="1">
        <f t="shared" ref="H35" si="22">D14/D$24</f>
        <v>9.3348623853211007E-2</v>
      </c>
      <c r="I35" s="1">
        <f t="shared" si="11"/>
        <v>0.36604361370716509</v>
      </c>
      <c r="J35" s="1">
        <f t="shared" si="15"/>
        <v>6.2594335761516046E-2</v>
      </c>
      <c r="X35">
        <v>30</v>
      </c>
      <c r="Z35">
        <v>22000</v>
      </c>
      <c r="AA35">
        <f>$C$3*$Y$4/(Z35+$Y$4)</f>
        <v>0.21063829787234042</v>
      </c>
      <c r="AB35">
        <f>MAX(0, AA34 - AA35)</f>
        <v>4.3207855973813408E-2</v>
      </c>
      <c r="AC35">
        <f>(AB35/$G$2) - 1</f>
        <v>-0.80360065466448449</v>
      </c>
      <c r="AD35">
        <v>22000</v>
      </c>
    </row>
    <row r="36" spans="4:41" x14ac:dyDescent="0.4">
      <c r="D36">
        <f t="shared" si="12"/>
        <v>1.4631268436578171</v>
      </c>
      <c r="E36">
        <f t="shared" si="13"/>
        <v>0.78522571819425435</v>
      </c>
      <c r="F36">
        <f t="shared" si="14"/>
        <v>0.83823697329966285</v>
      </c>
      <c r="H36" s="1">
        <f t="shared" ref="H36" si="23">D15/D$24</f>
        <v>0.11376146788990826</v>
      </c>
      <c r="I36" s="1">
        <f t="shared" si="11"/>
        <v>0.32147742818057456</v>
      </c>
      <c r="J36" s="1">
        <f t="shared" si="15"/>
        <v>6.2594335761516046E-2</v>
      </c>
    </row>
    <row r="37" spans="4:41" x14ac:dyDescent="0.4">
      <c r="D37">
        <f t="shared" si="12"/>
        <v>1.7669616519174041</v>
      </c>
      <c r="E37">
        <f t="shared" si="13"/>
        <v>0.68824940047961625</v>
      </c>
      <c r="F37">
        <f t="shared" si="14"/>
        <v>0.7872663950203449</v>
      </c>
      <c r="H37" s="1">
        <f t="shared" ref="H37" si="24">D16/D$24</f>
        <v>0.13738532110091742</v>
      </c>
      <c r="I37" s="1">
        <f t="shared" si="11"/>
        <v>0.28177458033573144</v>
      </c>
      <c r="J37" s="1">
        <f t="shared" si="15"/>
        <v>5.878816925681607E-2</v>
      </c>
    </row>
    <row r="38" spans="4:41" x14ac:dyDescent="0.4">
      <c r="D38">
        <f t="shared" si="12"/>
        <v>2.196165191740413</v>
      </c>
      <c r="E38">
        <f t="shared" si="13"/>
        <v>0.58601327207759057</v>
      </c>
      <c r="F38">
        <f t="shared" si="14"/>
        <v>1.1966965520426649</v>
      </c>
      <c r="H38" s="1">
        <f t="shared" ref="H38" si="25">D17/D$24</f>
        <v>0.17075688073394496</v>
      </c>
      <c r="I38" s="1">
        <f t="shared" si="11"/>
        <v>0.23991832567636548</v>
      </c>
      <c r="J38" s="1">
        <f t="shared" si="15"/>
        <v>8.9361872798742192E-2</v>
      </c>
      <c r="Y38" t="s">
        <v>68</v>
      </c>
      <c r="AA38" t="s">
        <v>74</v>
      </c>
      <c r="AC38">
        <v>1000</v>
      </c>
      <c r="AH38" t="s">
        <v>68</v>
      </c>
      <c r="AJ38" t="s">
        <v>74</v>
      </c>
      <c r="AL38">
        <v>1000</v>
      </c>
    </row>
    <row r="39" spans="4:41" x14ac:dyDescent="0.4">
      <c r="D39">
        <f t="shared" si="12"/>
        <v>3.2389380530973453</v>
      </c>
      <c r="E39">
        <f t="shared" si="13"/>
        <v>0.43060765191297823</v>
      </c>
      <c r="F39">
        <f t="shared" si="14"/>
        <v>2.0846645077613126</v>
      </c>
      <c r="H39" s="1">
        <f t="shared" ref="H39" si="26">D18/D$24</f>
        <v>0.2518348623853211</v>
      </c>
      <c r="I39" s="1">
        <f t="shared" si="11"/>
        <v>0.17629407351837961</v>
      </c>
      <c r="J39" s="1">
        <f t="shared" si="15"/>
        <v>0.15566980973801392</v>
      </c>
      <c r="Y39" s="3" t="s">
        <v>72</v>
      </c>
      <c r="Z39" s="3"/>
      <c r="AA39" s="5">
        <v>30</v>
      </c>
      <c r="AB39" s="4" t="s">
        <v>71</v>
      </c>
      <c r="AC39" s="4"/>
      <c r="AH39" s="3" t="s">
        <v>72</v>
      </c>
      <c r="AI39" s="3"/>
      <c r="AJ39" s="5">
        <v>10</v>
      </c>
      <c r="AK39" s="4" t="s">
        <v>71</v>
      </c>
      <c r="AL39" s="4"/>
    </row>
    <row r="40" spans="4:41" x14ac:dyDescent="0.4">
      <c r="D40">
        <f t="shared" si="12"/>
        <v>9.8967551622418881</v>
      </c>
      <c r="E40">
        <f t="shared" si="13"/>
        <v>0.15988857938718662</v>
      </c>
      <c r="F40">
        <f t="shared" si="14"/>
        <v>2.0846645077613126</v>
      </c>
      <c r="H40" s="1">
        <f t="shared" ref="H40" si="27">D19/D$24</f>
        <v>0.76949541284403666</v>
      </c>
      <c r="I40" s="1">
        <f t="shared" si="11"/>
        <v>6.545961002785515E-2</v>
      </c>
      <c r="J40" s="1">
        <f t="shared" si="15"/>
        <v>0.15566980973801392</v>
      </c>
      <c r="Y40" t="s">
        <v>1</v>
      </c>
      <c r="Z40" t="s">
        <v>46</v>
      </c>
      <c r="AA40" t="s">
        <v>77</v>
      </c>
      <c r="AB40" t="s">
        <v>70</v>
      </c>
      <c r="AC40" t="s">
        <v>69</v>
      </c>
      <c r="AD40" t="s">
        <v>73</v>
      </c>
      <c r="AE40" t="s">
        <v>76</v>
      </c>
      <c r="AF40" t="s">
        <v>75</v>
      </c>
      <c r="AH40" t="s">
        <v>1</v>
      </c>
      <c r="AI40" t="s">
        <v>46</v>
      </c>
      <c r="AJ40" t="s">
        <v>77</v>
      </c>
      <c r="AK40" t="s">
        <v>70</v>
      </c>
      <c r="AL40" t="s">
        <v>69</v>
      </c>
      <c r="AM40" t="s">
        <v>73</v>
      </c>
      <c r="AN40" t="s">
        <v>76</v>
      </c>
      <c r="AO40" t="s">
        <v>75</v>
      </c>
    </row>
    <row r="41" spans="4:41" x14ac:dyDescent="0.4">
      <c r="D41">
        <f t="shared" si="12"/>
        <v>12.861356932153392</v>
      </c>
      <c r="E41">
        <f t="shared" si="13"/>
        <v>0.12491838955386289</v>
      </c>
      <c r="F41">
        <f t="shared" si="14"/>
        <v>0.96193050101717414</v>
      </c>
      <c r="H41" s="1">
        <f t="shared" ref="H41" si="28">D20/D$24</f>
        <v>1</v>
      </c>
      <c r="I41" s="1">
        <f t="shared" si="11"/>
        <v>5.1142546245919483E-2</v>
      </c>
      <c r="J41" s="1">
        <f t="shared" si="15"/>
        <v>7.1831000871858786E-2</v>
      </c>
      <c r="Y41">
        <v>0</v>
      </c>
      <c r="Z41">
        <v>0</v>
      </c>
      <c r="AA41">
        <v>0</v>
      </c>
      <c r="AB41">
        <v>0.01</v>
      </c>
      <c r="AC41">
        <v>0.01</v>
      </c>
      <c r="AE41">
        <v>3.3999999999999998E-3</v>
      </c>
      <c r="AF41">
        <v>2.1100000000000001E-2</v>
      </c>
      <c r="AH41">
        <v>0</v>
      </c>
      <c r="AI41">
        <v>0</v>
      </c>
      <c r="AJ41">
        <v>0</v>
      </c>
      <c r="AK41">
        <v>0.01</v>
      </c>
      <c r="AL41">
        <v>0.01</v>
      </c>
      <c r="AN41">
        <v>3.7000000000000002E-3</v>
      </c>
      <c r="AO41">
        <v>2.2700000000000001E-2</v>
      </c>
    </row>
    <row r="42" spans="4:41" x14ac:dyDescent="0.4">
      <c r="Y42">
        <v>1</v>
      </c>
      <c r="Z42">
        <v>4.7</v>
      </c>
      <c r="AA42">
        <v>0</v>
      </c>
      <c r="AB42">
        <v>3.28</v>
      </c>
      <c r="AC42">
        <v>3.28</v>
      </c>
      <c r="AD42">
        <f>ABS(AC42-AC43)</f>
        <v>9.9999999999997868E-3</v>
      </c>
      <c r="AE42">
        <v>2.3E-3</v>
      </c>
      <c r="AF42">
        <v>1.8100000000000002E-2</v>
      </c>
      <c r="AH42">
        <v>1</v>
      </c>
      <c r="AI42">
        <v>4.7</v>
      </c>
      <c r="AJ42">
        <v>0</v>
      </c>
      <c r="AK42">
        <v>3.29</v>
      </c>
      <c r="AL42">
        <v>3.29</v>
      </c>
      <c r="AM42">
        <f>ABS(AL42-AL43)</f>
        <v>2.0000000000000018E-2</v>
      </c>
      <c r="AN42">
        <v>2.0999999999999999E-3</v>
      </c>
      <c r="AO42">
        <v>9.1000000000000004E-3</v>
      </c>
    </row>
    <row r="43" spans="4:41" x14ac:dyDescent="0.4">
      <c r="Y43">
        <v>2</v>
      </c>
      <c r="Z43">
        <v>10</v>
      </c>
      <c r="AA43">
        <v>0</v>
      </c>
      <c r="AB43">
        <v>3.26</v>
      </c>
      <c r="AC43">
        <v>3.27</v>
      </c>
      <c r="AD43">
        <f>MIN(ABS(AC42-AC43), ABS(AC43-AC44))</f>
        <v>9.9999999999997868E-3</v>
      </c>
      <c r="AE43">
        <v>2.3E-3</v>
      </c>
      <c r="AF43">
        <v>1.66E-2</v>
      </c>
      <c r="AH43">
        <v>2</v>
      </c>
      <c r="AI43">
        <v>10</v>
      </c>
      <c r="AJ43">
        <v>0</v>
      </c>
      <c r="AK43">
        <v>3.27</v>
      </c>
      <c r="AL43">
        <v>3.27</v>
      </c>
      <c r="AM43">
        <f>MIN(ABS(AL42-AL43), ABS(AL43-AL44))</f>
        <v>2.0000000000000018E-2</v>
      </c>
      <c r="AN43">
        <v>1.9E-3</v>
      </c>
      <c r="AO43">
        <v>1.3100000000000001E-2</v>
      </c>
    </row>
    <row r="44" spans="4:41" x14ac:dyDescent="0.4">
      <c r="Y44">
        <v>3</v>
      </c>
      <c r="Z44">
        <v>22</v>
      </c>
      <c r="AA44">
        <v>0</v>
      </c>
      <c r="AB44">
        <v>3.23</v>
      </c>
      <c r="AC44">
        <v>3.23</v>
      </c>
      <c r="AD44">
        <f t="shared" ref="AD44:AD54" si="29">MIN(ABS(AC43-AC44), ABS(AC44-AC45))</f>
        <v>4.0000000000000036E-2</v>
      </c>
      <c r="AE44">
        <v>2.5000000000000001E-3</v>
      </c>
      <c r="AF44">
        <v>1.8100000000000002E-2</v>
      </c>
      <c r="AH44">
        <v>3</v>
      </c>
      <c r="AI44">
        <v>22</v>
      </c>
      <c r="AJ44">
        <v>0</v>
      </c>
      <c r="AK44">
        <v>3.23</v>
      </c>
      <c r="AL44">
        <v>3.23</v>
      </c>
      <c r="AM44">
        <f t="shared" ref="AM44:AM54" si="30">MIN(ABS(AL43-AL44), ABS(AL44-AL45))</f>
        <v>4.0000000000000036E-2</v>
      </c>
      <c r="AN44">
        <v>1.8E-3</v>
      </c>
      <c r="AO44">
        <v>1.61E-2</v>
      </c>
    </row>
    <row r="45" spans="4:41" x14ac:dyDescent="0.4">
      <c r="Y45">
        <v>4</v>
      </c>
      <c r="Z45">
        <v>47</v>
      </c>
      <c r="AA45">
        <v>0</v>
      </c>
      <c r="AB45">
        <v>3.15</v>
      </c>
      <c r="AC45">
        <v>3.15</v>
      </c>
      <c r="AD45">
        <f t="shared" si="29"/>
        <v>6.0000000000000053E-2</v>
      </c>
      <c r="AE45">
        <v>1.9E-3</v>
      </c>
      <c r="AF45">
        <v>1.3599999999999999E-2</v>
      </c>
      <c r="AH45">
        <v>4</v>
      </c>
      <c r="AI45">
        <v>47</v>
      </c>
      <c r="AJ45">
        <v>0</v>
      </c>
      <c r="AK45">
        <v>3.16</v>
      </c>
      <c r="AL45">
        <v>3.16</v>
      </c>
      <c r="AM45">
        <f t="shared" si="30"/>
        <v>6.0000000000000053E-2</v>
      </c>
      <c r="AN45">
        <v>1.9E-3</v>
      </c>
      <c r="AO45">
        <v>1.11E-2</v>
      </c>
    </row>
    <row r="46" spans="4:41" x14ac:dyDescent="0.4">
      <c r="Y46">
        <v>5</v>
      </c>
      <c r="Z46">
        <v>68</v>
      </c>
      <c r="AA46">
        <v>0</v>
      </c>
      <c r="AB46">
        <v>3.09</v>
      </c>
      <c r="AC46">
        <v>3.09</v>
      </c>
      <c r="AD46">
        <f t="shared" si="29"/>
        <v>6.0000000000000053E-2</v>
      </c>
      <c r="AE46">
        <v>0.22</v>
      </c>
      <c r="AF46">
        <v>1.8100000000000002E-2</v>
      </c>
      <c r="AH46">
        <v>5</v>
      </c>
      <c r="AI46">
        <v>68</v>
      </c>
      <c r="AJ46">
        <v>0</v>
      </c>
      <c r="AK46">
        <v>3.1</v>
      </c>
      <c r="AL46">
        <v>3.1</v>
      </c>
      <c r="AM46">
        <f t="shared" si="30"/>
        <v>6.0000000000000053E-2</v>
      </c>
      <c r="AN46">
        <v>2.0999999999999999E-3</v>
      </c>
      <c r="AO46">
        <v>1.61E-2</v>
      </c>
    </row>
    <row r="47" spans="4:41" x14ac:dyDescent="0.4">
      <c r="Y47">
        <v>6</v>
      </c>
      <c r="Z47">
        <v>100</v>
      </c>
      <c r="AA47">
        <v>0</v>
      </c>
      <c r="AB47">
        <v>3</v>
      </c>
      <c r="AC47">
        <v>3</v>
      </c>
      <c r="AD47">
        <f t="shared" si="29"/>
        <v>4.9999999999999822E-2</v>
      </c>
      <c r="AE47">
        <v>2.0999999999999999E-3</v>
      </c>
      <c r="AF47">
        <v>1.66E-2</v>
      </c>
      <c r="AH47">
        <v>6</v>
      </c>
      <c r="AI47">
        <v>100</v>
      </c>
      <c r="AJ47">
        <v>0</v>
      </c>
      <c r="AK47">
        <v>3.01</v>
      </c>
      <c r="AL47">
        <v>3</v>
      </c>
      <c r="AM47">
        <f t="shared" si="30"/>
        <v>4.9999999999999822E-2</v>
      </c>
      <c r="AN47">
        <v>1.9E-3</v>
      </c>
      <c r="AO47">
        <v>1.3100000000000001E-2</v>
      </c>
    </row>
    <row r="48" spans="4:41" x14ac:dyDescent="0.4">
      <c r="Y48">
        <v>7</v>
      </c>
      <c r="Z48">
        <v>120</v>
      </c>
      <c r="AA48">
        <v>0</v>
      </c>
      <c r="AB48">
        <v>2.95</v>
      </c>
      <c r="AC48">
        <v>2.95</v>
      </c>
      <c r="AD48">
        <f t="shared" si="29"/>
        <v>4.9999999999999822E-2</v>
      </c>
      <c r="AE48">
        <v>1.8E-3</v>
      </c>
      <c r="AF48">
        <v>1.5100000000000001E-2</v>
      </c>
      <c r="AH48">
        <v>7</v>
      </c>
      <c r="AI48">
        <v>120</v>
      </c>
      <c r="AJ48">
        <v>0</v>
      </c>
      <c r="AK48">
        <v>2.95</v>
      </c>
      <c r="AL48">
        <v>2.95</v>
      </c>
      <c r="AM48">
        <f t="shared" si="30"/>
        <v>4.9999999999999822E-2</v>
      </c>
      <c r="AN48">
        <v>1.9E-2</v>
      </c>
      <c r="AO48">
        <v>1.1599999999999999E-2</v>
      </c>
    </row>
    <row r="49" spans="25:41" x14ac:dyDescent="0.4">
      <c r="Y49">
        <v>8</v>
      </c>
      <c r="Z49">
        <v>150</v>
      </c>
      <c r="AA49">
        <v>0</v>
      </c>
      <c r="AB49">
        <v>2.88</v>
      </c>
      <c r="AC49">
        <v>2.87</v>
      </c>
      <c r="AD49">
        <f t="shared" si="29"/>
        <v>8.0000000000000071E-2</v>
      </c>
      <c r="AE49">
        <v>2.1999999999999999E-2</v>
      </c>
      <c r="AF49">
        <v>1.5100000000000001E-2</v>
      </c>
      <c r="AH49">
        <v>8</v>
      </c>
      <c r="AI49">
        <v>150</v>
      </c>
      <c r="AJ49">
        <v>0</v>
      </c>
      <c r="AK49">
        <v>2.88</v>
      </c>
      <c r="AL49">
        <v>2.87</v>
      </c>
      <c r="AM49">
        <f t="shared" si="30"/>
        <v>8.0000000000000071E-2</v>
      </c>
      <c r="AN49">
        <v>2.0999999999999999E-3</v>
      </c>
      <c r="AO49">
        <v>2.1100000000000001E-2</v>
      </c>
    </row>
    <row r="50" spans="25:41" x14ac:dyDescent="0.4">
      <c r="Y50">
        <v>9</v>
      </c>
      <c r="Z50">
        <v>220</v>
      </c>
      <c r="AA50">
        <v>0</v>
      </c>
      <c r="AB50">
        <v>2.71</v>
      </c>
      <c r="AC50">
        <v>2.71</v>
      </c>
      <c r="AD50">
        <f t="shared" si="29"/>
        <v>0.16000000000000014</v>
      </c>
      <c r="AE50">
        <v>2.0999999999999999E-3</v>
      </c>
      <c r="AF50">
        <v>1.5100000000000001E-2</v>
      </c>
      <c r="AH50">
        <v>9</v>
      </c>
      <c r="AI50">
        <v>220</v>
      </c>
      <c r="AJ50">
        <v>0</v>
      </c>
      <c r="AK50">
        <v>2.71</v>
      </c>
      <c r="AL50">
        <v>2.71</v>
      </c>
      <c r="AM50">
        <f t="shared" si="30"/>
        <v>0.16000000000000014</v>
      </c>
      <c r="AN50">
        <v>2.3E-3</v>
      </c>
      <c r="AO50">
        <v>1.3100000000000001E-2</v>
      </c>
    </row>
    <row r="51" spans="25:41" x14ac:dyDescent="0.4">
      <c r="Y51">
        <v>10</v>
      </c>
      <c r="Z51">
        <v>330</v>
      </c>
      <c r="AA51">
        <v>0</v>
      </c>
      <c r="AB51">
        <v>2.4900000000000002</v>
      </c>
      <c r="AC51">
        <v>2.4900000000000002</v>
      </c>
      <c r="AD51">
        <f t="shared" si="29"/>
        <v>0.21999999999999975</v>
      </c>
      <c r="AE51">
        <v>2.3E-3</v>
      </c>
      <c r="AF51">
        <v>1.66E-2</v>
      </c>
      <c r="AH51">
        <v>10</v>
      </c>
      <c r="AI51">
        <v>330</v>
      </c>
      <c r="AJ51">
        <v>0</v>
      </c>
      <c r="AK51">
        <v>2.4900000000000002</v>
      </c>
      <c r="AL51">
        <v>2.48</v>
      </c>
      <c r="AM51">
        <f t="shared" si="30"/>
        <v>0.22999999999999998</v>
      </c>
      <c r="AN51">
        <v>3.0999999999999999E-3</v>
      </c>
      <c r="AO51">
        <v>1.8100000000000002E-2</v>
      </c>
    </row>
    <row r="52" spans="25:41" x14ac:dyDescent="0.4">
      <c r="Y52">
        <v>11</v>
      </c>
      <c r="Z52">
        <v>1000</v>
      </c>
      <c r="AA52">
        <v>0</v>
      </c>
      <c r="AB52">
        <v>1.67</v>
      </c>
      <c r="AC52">
        <v>1.66</v>
      </c>
      <c r="AD52">
        <f t="shared" si="29"/>
        <v>0.61999999999999988</v>
      </c>
      <c r="AE52">
        <v>3.0999999999999999E-3</v>
      </c>
      <c r="AF52">
        <v>2.4199999999999999E-2</v>
      </c>
      <c r="AH52">
        <v>11</v>
      </c>
      <c r="AI52">
        <v>1000</v>
      </c>
      <c r="AJ52">
        <v>0</v>
      </c>
      <c r="AK52">
        <v>1.66</v>
      </c>
      <c r="AL52">
        <v>1.65</v>
      </c>
      <c r="AM52">
        <f t="shared" si="30"/>
        <v>0.60999999999999988</v>
      </c>
      <c r="AN52">
        <v>3.2000000000000002E-3</v>
      </c>
      <c r="AO52">
        <v>1.61E-2</v>
      </c>
    </row>
    <row r="53" spans="25:41" x14ac:dyDescent="0.4">
      <c r="Y53">
        <v>12</v>
      </c>
      <c r="Z53">
        <v>2200</v>
      </c>
      <c r="AA53">
        <v>0</v>
      </c>
      <c r="AB53">
        <v>1.05</v>
      </c>
      <c r="AC53">
        <v>1.04</v>
      </c>
      <c r="AD53">
        <f t="shared" si="29"/>
        <v>0.45000000000000007</v>
      </c>
      <c r="AE53">
        <v>3.7000000000000002E-3</v>
      </c>
      <c r="AF53">
        <v>2.2700000000000001E-2</v>
      </c>
      <c r="AH53">
        <v>12</v>
      </c>
      <c r="AI53">
        <v>2200</v>
      </c>
      <c r="AJ53">
        <v>0</v>
      </c>
      <c r="AK53">
        <v>1.04</v>
      </c>
      <c r="AL53">
        <v>1.04</v>
      </c>
      <c r="AM53">
        <f t="shared" si="30"/>
        <v>0.46000000000000008</v>
      </c>
      <c r="AN53">
        <v>3.5999999999999999E-3</v>
      </c>
      <c r="AO53">
        <v>3.3700000000000001E-2</v>
      </c>
    </row>
    <row r="54" spans="25:41" x14ac:dyDescent="0.4">
      <c r="Y54">
        <v>13</v>
      </c>
      <c r="Z54">
        <v>4700</v>
      </c>
      <c r="AA54">
        <v>0</v>
      </c>
      <c r="AB54">
        <v>0.59</v>
      </c>
      <c r="AC54">
        <v>0.59</v>
      </c>
      <c r="AD54">
        <f t="shared" si="29"/>
        <v>7.999999999999996E-2</v>
      </c>
      <c r="AE54">
        <v>3.7000000000000002E-3</v>
      </c>
      <c r="AF54">
        <v>2.4199999999999999E-2</v>
      </c>
      <c r="AH54">
        <v>13</v>
      </c>
      <c r="AI54">
        <v>4700</v>
      </c>
      <c r="AJ54">
        <v>0</v>
      </c>
      <c r="AK54">
        <v>0.59</v>
      </c>
      <c r="AL54">
        <v>0.57999999999999996</v>
      </c>
      <c r="AM54">
        <f t="shared" si="30"/>
        <v>6.9999999999999951E-2</v>
      </c>
      <c r="AN54">
        <v>3.8E-3</v>
      </c>
      <c r="AO54">
        <v>2.2700000000000001E-2</v>
      </c>
    </row>
    <row r="55" spans="25:41" x14ac:dyDescent="0.4">
      <c r="Y55">
        <v>14</v>
      </c>
      <c r="Z55">
        <v>5500</v>
      </c>
      <c r="AA55">
        <v>0</v>
      </c>
      <c r="AB55">
        <v>0.51</v>
      </c>
      <c r="AC55">
        <v>0.51</v>
      </c>
      <c r="AD55">
        <f>ABS(AC54-AC55)</f>
        <v>7.999999999999996E-2</v>
      </c>
      <c r="AE55">
        <v>3.3999999999999998E-3</v>
      </c>
      <c r="AF55">
        <v>1.9599999999999999E-2</v>
      </c>
      <c r="AH55">
        <v>14</v>
      </c>
      <c r="AI55">
        <v>5500</v>
      </c>
      <c r="AJ55">
        <v>0</v>
      </c>
      <c r="AK55">
        <v>0.51</v>
      </c>
      <c r="AL55">
        <v>0.51</v>
      </c>
      <c r="AM55">
        <f>ABS(AL54-AL55)</f>
        <v>6.9999999999999951E-2</v>
      </c>
      <c r="AN55">
        <v>0.42</v>
      </c>
      <c r="AO55">
        <v>2.7699999999999999E-2</v>
      </c>
    </row>
    <row r="59" spans="25:41" x14ac:dyDescent="0.4">
      <c r="Z59">
        <v>4.7</v>
      </c>
      <c r="AA59" s="7">
        <f>$C$3*$AC$38/(Z59+$AC$38)</f>
        <v>3.2845625559868616</v>
      </c>
      <c r="AB59" s="6">
        <f>AC42-AA59</f>
        <v>-4.5625559868618382E-3</v>
      </c>
      <c r="AH59" t="s">
        <v>68</v>
      </c>
      <c r="AJ59" t="s">
        <v>74</v>
      </c>
      <c r="AL59">
        <v>120</v>
      </c>
    </row>
    <row r="60" spans="25:41" x14ac:dyDescent="0.4">
      <c r="Z60">
        <v>10</v>
      </c>
      <c r="AA60" s="7">
        <f t="shared" ref="AA60:AA72" si="31">$C$3*$AC$38/(Z60+$AC$38)</f>
        <v>3.2673267326732671</v>
      </c>
      <c r="AB60" s="6">
        <f t="shared" ref="AB60:AB72" si="32">AC43-AA60</f>
        <v>2.6732673267328977E-3</v>
      </c>
      <c r="AH60" s="3" t="s">
        <v>72</v>
      </c>
      <c r="AI60" s="3"/>
      <c r="AJ60" s="5">
        <v>10</v>
      </c>
      <c r="AK60" s="4" t="s">
        <v>71</v>
      </c>
      <c r="AL60" s="4"/>
    </row>
    <row r="61" spans="25:41" x14ac:dyDescent="0.4">
      <c r="Z61">
        <v>22</v>
      </c>
      <c r="AA61" s="7">
        <f t="shared" si="31"/>
        <v>3.228962818003914</v>
      </c>
      <c r="AB61" s="6">
        <f t="shared" si="32"/>
        <v>1.0371819960859341E-3</v>
      </c>
      <c r="AH61" t="s">
        <v>1</v>
      </c>
      <c r="AI61" t="s">
        <v>46</v>
      </c>
      <c r="AJ61" t="s">
        <v>77</v>
      </c>
      <c r="AK61" t="s">
        <v>70</v>
      </c>
      <c r="AL61" t="s">
        <v>69</v>
      </c>
      <c r="AM61" t="s">
        <v>73</v>
      </c>
      <c r="AN61" t="s">
        <v>76</v>
      </c>
      <c r="AO61" t="s">
        <v>75</v>
      </c>
    </row>
    <row r="62" spans="25:41" x14ac:dyDescent="0.4">
      <c r="Z62">
        <v>47</v>
      </c>
      <c r="AA62" s="7">
        <f t="shared" si="31"/>
        <v>3.151862464183381</v>
      </c>
      <c r="AB62" s="6">
        <f t="shared" si="32"/>
        <v>-1.8624641833810962E-3</v>
      </c>
      <c r="AH62">
        <v>0</v>
      </c>
      <c r="AI62">
        <v>0</v>
      </c>
      <c r="AK62">
        <v>0.01</v>
      </c>
      <c r="AL62">
        <v>0.01</v>
      </c>
      <c r="AN62">
        <v>2.3E-2</v>
      </c>
      <c r="AO62">
        <v>1.7600000000000001E-2</v>
      </c>
    </row>
    <row r="63" spans="25:41" x14ac:dyDescent="0.4">
      <c r="Z63">
        <v>68</v>
      </c>
      <c r="AA63" s="7">
        <f t="shared" si="31"/>
        <v>3.0898876404494384</v>
      </c>
      <c r="AB63" s="6">
        <f t="shared" si="32"/>
        <v>1.1235955056143609E-4</v>
      </c>
      <c r="AH63">
        <v>1</v>
      </c>
      <c r="AI63">
        <v>4.7</v>
      </c>
      <c r="AK63">
        <v>3.15</v>
      </c>
      <c r="AL63">
        <v>3.16</v>
      </c>
      <c r="AM63">
        <f>ABS(AL63-AL64)</f>
        <v>0.13000000000000034</v>
      </c>
      <c r="AN63">
        <v>1.6000000000000001E-3</v>
      </c>
      <c r="AO63">
        <v>1.41E-2</v>
      </c>
    </row>
    <row r="64" spans="25:41" x14ac:dyDescent="0.4">
      <c r="Z64">
        <v>100</v>
      </c>
      <c r="AA64" s="7">
        <f t="shared" si="31"/>
        <v>3</v>
      </c>
      <c r="AB64" s="6">
        <f t="shared" si="32"/>
        <v>0</v>
      </c>
      <c r="AH64">
        <v>2</v>
      </c>
      <c r="AI64">
        <v>10</v>
      </c>
      <c r="AK64">
        <v>3.03</v>
      </c>
      <c r="AL64">
        <v>3.03</v>
      </c>
      <c r="AM64">
        <f>MIN(ABS(AL63-AL64), ABS(AL64-AL65))</f>
        <v>0.13000000000000034</v>
      </c>
      <c r="AN64">
        <v>1.6000000000000001E-3</v>
      </c>
      <c r="AO64">
        <v>8.0999999999999996E-3</v>
      </c>
    </row>
    <row r="65" spans="26:41" x14ac:dyDescent="0.4">
      <c r="Z65">
        <v>120</v>
      </c>
      <c r="AA65" s="7">
        <f t="shared" si="31"/>
        <v>2.9464285714285716</v>
      </c>
      <c r="AB65" s="6">
        <f t="shared" si="32"/>
        <v>3.5714285714285587E-3</v>
      </c>
      <c r="AH65">
        <v>3</v>
      </c>
      <c r="AI65">
        <v>22</v>
      </c>
      <c r="AK65">
        <v>2.77</v>
      </c>
      <c r="AL65">
        <v>2.78</v>
      </c>
      <c r="AM65">
        <f t="shared" ref="AM65:AM75" si="33">MIN(ABS(AL64-AL65), ABS(AL65-AL66))</f>
        <v>0.25</v>
      </c>
      <c r="AN65">
        <v>1.5E-3</v>
      </c>
      <c r="AO65">
        <v>1.1599999999999999E-2</v>
      </c>
    </row>
    <row r="66" spans="26:41" x14ac:dyDescent="0.4">
      <c r="Z66">
        <v>150</v>
      </c>
      <c r="AA66" s="7">
        <f t="shared" si="31"/>
        <v>2.8695652173913042</v>
      </c>
      <c r="AB66" s="6">
        <f t="shared" si="32"/>
        <v>4.3478260869589391E-4</v>
      </c>
      <c r="AH66">
        <v>4</v>
      </c>
      <c r="AI66">
        <v>47</v>
      </c>
      <c r="AK66">
        <v>2.37</v>
      </c>
      <c r="AL66">
        <v>2.37</v>
      </c>
      <c r="AM66">
        <f t="shared" si="33"/>
        <v>0.12999999999999989</v>
      </c>
      <c r="AN66">
        <v>1.5E-3</v>
      </c>
      <c r="AO66">
        <v>1.1599999999999999E-2</v>
      </c>
    </row>
    <row r="67" spans="26:41" x14ac:dyDescent="0.4">
      <c r="Z67">
        <v>220</v>
      </c>
      <c r="AA67" s="7">
        <f t="shared" si="31"/>
        <v>2.7049180327868854</v>
      </c>
      <c r="AB67" s="6">
        <f t="shared" si="32"/>
        <v>5.0819672131146021E-3</v>
      </c>
      <c r="AH67">
        <v>5</v>
      </c>
      <c r="AI67">
        <v>68</v>
      </c>
      <c r="AK67">
        <v>2.23</v>
      </c>
      <c r="AL67">
        <v>2.2400000000000002</v>
      </c>
      <c r="AM67">
        <f t="shared" si="33"/>
        <v>0.12999999999999989</v>
      </c>
      <c r="AN67">
        <v>1.1999999999999999E-3</v>
      </c>
      <c r="AO67">
        <v>1.01E-2</v>
      </c>
    </row>
    <row r="68" spans="26:41" x14ac:dyDescent="0.4">
      <c r="Z68">
        <v>330</v>
      </c>
      <c r="AA68" s="7">
        <f t="shared" si="31"/>
        <v>2.481203007518797</v>
      </c>
      <c r="AB68" s="6">
        <f t="shared" si="32"/>
        <v>8.7969924812032474E-3</v>
      </c>
      <c r="AH68">
        <v>6</v>
      </c>
      <c r="AI68">
        <v>100</v>
      </c>
      <c r="AK68">
        <v>1.87</v>
      </c>
      <c r="AL68">
        <v>1.87</v>
      </c>
      <c r="AM68">
        <f t="shared" si="33"/>
        <v>0.19000000000000017</v>
      </c>
      <c r="AN68">
        <v>1.4E-3</v>
      </c>
      <c r="AO68">
        <v>8.0999999999999996E-3</v>
      </c>
    </row>
    <row r="69" spans="26:41" x14ac:dyDescent="0.4">
      <c r="Z69">
        <v>1000</v>
      </c>
      <c r="AA69" s="7">
        <f t="shared" si="31"/>
        <v>1.65</v>
      </c>
      <c r="AB69" s="6">
        <f t="shared" si="32"/>
        <v>1.0000000000000009E-2</v>
      </c>
      <c r="AH69">
        <v>7</v>
      </c>
      <c r="AI69">
        <v>120</v>
      </c>
      <c r="AK69">
        <v>1.68</v>
      </c>
      <c r="AL69">
        <v>1.68</v>
      </c>
      <c r="AM69">
        <f t="shared" si="33"/>
        <v>7.9999999999999849E-2</v>
      </c>
      <c r="AN69">
        <v>1.6000000000000001E-3</v>
      </c>
      <c r="AO69">
        <v>8.0999999999999996E-3</v>
      </c>
    </row>
    <row r="70" spans="26:41" x14ac:dyDescent="0.4">
      <c r="Z70">
        <v>2200</v>
      </c>
      <c r="AA70" s="7">
        <f t="shared" si="31"/>
        <v>1.03125</v>
      </c>
      <c r="AB70" s="6">
        <f t="shared" si="32"/>
        <v>8.7500000000000355E-3</v>
      </c>
      <c r="AH70">
        <v>8</v>
      </c>
      <c r="AI70">
        <v>150</v>
      </c>
      <c r="AK70">
        <v>1.59</v>
      </c>
      <c r="AL70">
        <v>1.6</v>
      </c>
      <c r="AM70">
        <f t="shared" si="33"/>
        <v>7.9999999999999849E-2</v>
      </c>
      <c r="AN70">
        <v>1.6000000000000001E-3</v>
      </c>
      <c r="AO70">
        <v>1.3100000000000001E-2</v>
      </c>
    </row>
    <row r="71" spans="26:41" x14ac:dyDescent="0.4">
      <c r="Z71">
        <v>4700</v>
      </c>
      <c r="AA71" s="7">
        <f t="shared" si="31"/>
        <v>0.57894736842105265</v>
      </c>
      <c r="AB71" s="6">
        <f t="shared" si="32"/>
        <v>1.1052631578947314E-2</v>
      </c>
      <c r="AH71">
        <v>9</v>
      </c>
      <c r="AI71">
        <v>220</v>
      </c>
      <c r="AK71">
        <v>1.43</v>
      </c>
      <c r="AL71">
        <v>1.43</v>
      </c>
      <c r="AM71">
        <f t="shared" si="33"/>
        <v>0.17000000000000015</v>
      </c>
      <c r="AN71">
        <v>1.5E-3</v>
      </c>
      <c r="AO71">
        <v>1.11E-2</v>
      </c>
    </row>
    <row r="72" spans="26:41" x14ac:dyDescent="0.4">
      <c r="Z72">
        <v>5500</v>
      </c>
      <c r="AA72" s="7">
        <f t="shared" si="31"/>
        <v>0.50769230769230766</v>
      </c>
      <c r="AB72" s="6">
        <f t="shared" si="32"/>
        <v>2.3076923076923439E-3</v>
      </c>
      <c r="AH72">
        <v>10</v>
      </c>
      <c r="AI72">
        <v>330</v>
      </c>
      <c r="AK72">
        <v>1.07</v>
      </c>
      <c r="AL72">
        <v>1.22</v>
      </c>
      <c r="AM72">
        <f t="shared" si="33"/>
        <v>0.20999999999999996</v>
      </c>
      <c r="AN72">
        <v>1.8E-3</v>
      </c>
      <c r="AO72">
        <v>1.26E-2</v>
      </c>
    </row>
    <row r="73" spans="26:41" x14ac:dyDescent="0.4">
      <c r="AH73">
        <v>11</v>
      </c>
      <c r="AI73">
        <v>1000</v>
      </c>
      <c r="AK73">
        <v>0.64</v>
      </c>
      <c r="AL73">
        <v>0.66</v>
      </c>
      <c r="AM73">
        <f t="shared" si="33"/>
        <v>0.45000000000000007</v>
      </c>
      <c r="AN73">
        <v>2.5999999999999999E-3</v>
      </c>
      <c r="AO73">
        <v>2.1100000000000001E-2</v>
      </c>
    </row>
    <row r="74" spans="26:41" x14ac:dyDescent="0.4">
      <c r="AH74">
        <v>12</v>
      </c>
      <c r="AI74">
        <v>2200</v>
      </c>
      <c r="AK74">
        <v>0.2</v>
      </c>
      <c r="AL74">
        <v>0.21</v>
      </c>
      <c r="AM74">
        <f t="shared" si="33"/>
        <v>5.0000000000000017E-2</v>
      </c>
      <c r="AN74">
        <v>2.5000000000000001E-3</v>
      </c>
      <c r="AO74">
        <v>1.46E-2</v>
      </c>
    </row>
    <row r="75" spans="26:41" x14ac:dyDescent="0.4">
      <c r="AH75">
        <v>13</v>
      </c>
      <c r="AI75">
        <v>4700</v>
      </c>
      <c r="AK75">
        <v>0.25</v>
      </c>
      <c r="AL75">
        <v>0.26</v>
      </c>
      <c r="AM75">
        <f t="shared" si="33"/>
        <v>5.0000000000000017E-2</v>
      </c>
      <c r="AN75">
        <v>3.2000000000000002E-3</v>
      </c>
      <c r="AO75">
        <v>2.2200000000000001E-2</v>
      </c>
    </row>
    <row r="76" spans="26:41" x14ac:dyDescent="0.4">
      <c r="AH76">
        <v>14</v>
      </c>
      <c r="AI76">
        <v>5500</v>
      </c>
      <c r="AK76">
        <v>0.08</v>
      </c>
      <c r="AL76">
        <v>0.08</v>
      </c>
      <c r="AM76">
        <f>ABS(AL75-AL76)</f>
        <v>0.18</v>
      </c>
      <c r="AN76">
        <v>2.5000000000000001E-3</v>
      </c>
      <c r="AO76">
        <v>1.26E-2</v>
      </c>
    </row>
    <row r="81" spans="37:38" x14ac:dyDescent="0.4">
      <c r="AK81" s="7"/>
      <c r="AL81" s="7"/>
    </row>
    <row r="82" spans="37:38" x14ac:dyDescent="0.4">
      <c r="AK82" s="7"/>
      <c r="AL82" s="7"/>
    </row>
    <row r="83" spans="37:38" x14ac:dyDescent="0.4">
      <c r="AK83" s="7"/>
      <c r="AL83" s="7"/>
    </row>
    <row r="84" spans="37:38" x14ac:dyDescent="0.4">
      <c r="AK84" s="7"/>
      <c r="AL84" s="7"/>
    </row>
    <row r="85" spans="37:38" x14ac:dyDescent="0.4">
      <c r="AK85" s="7"/>
      <c r="AL85" s="7"/>
    </row>
    <row r="86" spans="37:38" x14ac:dyDescent="0.4">
      <c r="AK86" s="7"/>
      <c r="AL86" s="7"/>
    </row>
    <row r="87" spans="37:38" x14ac:dyDescent="0.4">
      <c r="AK87" s="7"/>
      <c r="AL87" s="7"/>
    </row>
    <row r="88" spans="37:38" x14ac:dyDescent="0.4">
      <c r="AK88" s="7"/>
      <c r="AL88" s="7"/>
    </row>
    <row r="89" spans="37:38" x14ac:dyDescent="0.4">
      <c r="AK89" s="7"/>
      <c r="AL89" s="7"/>
    </row>
    <row r="90" spans="37:38" x14ac:dyDescent="0.4">
      <c r="AK90" s="7"/>
      <c r="AL90" s="7"/>
    </row>
    <row r="91" spans="37:38" x14ac:dyDescent="0.4">
      <c r="AK91" s="7"/>
      <c r="AL91" s="7"/>
    </row>
    <row r="92" spans="37:38" x14ac:dyDescent="0.4">
      <c r="AK92" s="7"/>
      <c r="AL92" s="7"/>
    </row>
    <row r="93" spans="37:38" x14ac:dyDescent="0.4">
      <c r="AK93" s="7"/>
      <c r="AL93" s="7"/>
    </row>
    <row r="94" spans="37:38" x14ac:dyDescent="0.4">
      <c r="AK94" s="7"/>
      <c r="AL94" s="7"/>
    </row>
  </sheetData>
  <sortState xmlns:xlrd2="http://schemas.microsoft.com/office/spreadsheetml/2017/richdata2" ref="Z41:AD79">
    <sortCondition ref="Z41:Z79"/>
  </sortState>
  <mergeCells count="6">
    <mergeCell ref="AK39:AL39"/>
    <mergeCell ref="AH60:AI60"/>
    <mergeCell ref="AK60:AL60"/>
    <mergeCell ref="AB39:AC39"/>
    <mergeCell ref="Y39:Z39"/>
    <mergeCell ref="AH39:AI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Southern</dc:creator>
  <cp:lastModifiedBy>David Southern</cp:lastModifiedBy>
  <dcterms:created xsi:type="dcterms:W3CDTF">2026-04-09T02:10:07Z</dcterms:created>
  <dcterms:modified xsi:type="dcterms:W3CDTF">2026-04-11T04:46:43Z</dcterms:modified>
</cp:coreProperties>
</file>