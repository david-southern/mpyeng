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source\repos\space-sim\engineering-board\mp-card-resistance-tester\"/>
    </mc:Choice>
  </mc:AlternateContent>
  <xr:revisionPtr revIDLastSave="0" documentId="13_ncr:9_{1C5A165C-8ECB-4AB7-B589-1B7A042663C3}" xr6:coauthVersionLast="47" xr6:coauthVersionMax="47" xr10:uidLastSave="{00000000-0000-0000-0000-000000000000}"/>
  <bookViews>
    <workbookView xWindow="2709" yWindow="1037" windowWidth="24874" windowHeight="15197" xr2:uid="{6960A855-6541-4DD1-9590-2D6E6775D716}"/>
  </bookViews>
  <sheets>
    <sheet name="power_card_resistors_1000ohm" sheetId="1" r:id="rId1"/>
  </sheets>
  <calcPr calcId="0"/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G20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9" i="1"/>
  <c r="H8" i="1"/>
  <c r="H7" i="1"/>
  <c r="H6" i="1"/>
  <c r="H5" i="1"/>
  <c r="H4" i="1"/>
  <c r="H2" i="1"/>
  <c r="H26" i="1"/>
  <c r="H25" i="1"/>
  <c r="H24" i="1"/>
  <c r="H23" i="1"/>
  <c r="H22" i="1"/>
  <c r="H21" i="1"/>
  <c r="H20" i="1"/>
  <c r="H19" i="1"/>
  <c r="G19" i="1" s="1"/>
  <c r="H18" i="1"/>
  <c r="H17" i="1"/>
  <c r="G17" i="1" s="1"/>
  <c r="H16" i="1"/>
  <c r="H15" i="1"/>
  <c r="H14" i="1"/>
  <c r="H13" i="1"/>
  <c r="H12" i="1"/>
  <c r="H11" i="1"/>
  <c r="H10" i="1"/>
  <c r="H3" i="1"/>
  <c r="C2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18" i="1" l="1"/>
</calcChain>
</file>

<file path=xl/sharedStrings.xml><?xml version="1.0" encoding="utf-8"?>
<sst xmlns="http://schemas.openxmlformats.org/spreadsheetml/2006/main" count="14" uniqueCount="14">
  <si>
    <t>VMax</t>
  </si>
  <si>
    <t>VMin</t>
  </si>
  <si>
    <t>label</t>
  </si>
  <si>
    <t>Resistance</t>
  </si>
  <si>
    <t>V Range</t>
  </si>
  <si>
    <t>Min Delta</t>
  </si>
  <si>
    <t>Risk %</t>
  </si>
  <si>
    <t>Fixed Resistor:</t>
  </si>
  <si>
    <t>R1200</t>
  </si>
  <si>
    <t>Voltage sample rate</t>
  </si>
  <si>
    <t>10 ms</t>
  </si>
  <si>
    <t>Smoothing:</t>
  </si>
  <si>
    <t>EMA_ALPHA</t>
  </si>
  <si>
    <r>
      <t>Exponential Moving Average (V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= EMA_ALPHA * V</t>
    </r>
    <r>
      <rPr>
        <vertAlign val="subscript"/>
        <sz val="11"/>
        <color theme="1"/>
        <rFont val="Aptos Narrow"/>
        <family val="2"/>
        <scheme val="minor"/>
      </rPr>
      <t>sampled</t>
    </r>
    <r>
      <rPr>
        <sz val="11"/>
        <color theme="1"/>
        <rFont val="Aptos Narrow"/>
        <family val="2"/>
        <scheme val="minor"/>
      </rPr>
      <t xml:space="preserve"> + (1 - EMA_ALPHA) * V</t>
    </r>
    <r>
      <rPr>
        <vertAlign val="subscript"/>
        <sz val="11"/>
        <color theme="1"/>
        <rFont val="Aptos Narrow"/>
        <family val="2"/>
        <scheme val="minor"/>
      </rPr>
      <t>t-1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</si>
</sst>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power_card_resistors_1000ohm!$E$1</c:f>
              <c:strCache>
                <c:ptCount val="1"/>
                <c:pt idx="0">
                  <c:v>VMin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power_card_resistors_1000ohm!$C$2:$C$26</c:f>
              <c:strCache>
                <c:ptCount val="25"/>
                <c:pt idx="0">
                  <c:v>R15000</c:v>
                </c:pt>
                <c:pt idx="1">
                  <c:v>R10000</c:v>
                </c:pt>
                <c:pt idx="2">
                  <c:v>R8200</c:v>
                </c:pt>
                <c:pt idx="3">
                  <c:v>R6800</c:v>
                </c:pt>
                <c:pt idx="4">
                  <c:v>R5600</c:v>
                </c:pt>
                <c:pt idx="5">
                  <c:v>R4700</c:v>
                </c:pt>
                <c:pt idx="6">
                  <c:v>R3900</c:v>
                </c:pt>
                <c:pt idx="7">
                  <c:v>R3100</c:v>
                </c:pt>
                <c:pt idx="8">
                  <c:v>R2700</c:v>
                </c:pt>
                <c:pt idx="9">
                  <c:v>R2000</c:v>
                </c:pt>
                <c:pt idx="10">
                  <c:v>R1800</c:v>
                </c:pt>
                <c:pt idx="11">
                  <c:v>R1500</c:v>
                </c:pt>
                <c:pt idx="12">
                  <c:v>R1200</c:v>
                </c:pt>
                <c:pt idx="13">
                  <c:v>R820</c:v>
                </c:pt>
                <c:pt idx="14">
                  <c:v>R620</c:v>
                </c:pt>
                <c:pt idx="15">
                  <c:v>R560</c:v>
                </c:pt>
                <c:pt idx="16">
                  <c:v>R470</c:v>
                </c:pt>
                <c:pt idx="17">
                  <c:v>R390</c:v>
                </c:pt>
                <c:pt idx="18">
                  <c:v>R300</c:v>
                </c:pt>
                <c:pt idx="19">
                  <c:v>R240</c:v>
                </c:pt>
                <c:pt idx="20">
                  <c:v>R200</c:v>
                </c:pt>
                <c:pt idx="21">
                  <c:v>R150</c:v>
                </c:pt>
                <c:pt idx="22">
                  <c:v>R120</c:v>
                </c:pt>
                <c:pt idx="23">
                  <c:v>R100</c:v>
                </c:pt>
                <c:pt idx="24">
                  <c:v>R62</c:v>
                </c:pt>
              </c:strCache>
            </c:strRef>
          </c:cat>
          <c:val>
            <c:numRef>
              <c:f>power_card_resistors_1000ohm!$E$2:$E$26</c:f>
              <c:numCache>
                <c:formatCode>General</c:formatCode>
                <c:ptCount val="25"/>
                <c:pt idx="0">
                  <c:v>0.2364</c:v>
                </c:pt>
                <c:pt idx="1">
                  <c:v>0.33650000000000002</c:v>
                </c:pt>
                <c:pt idx="2">
                  <c:v>0.3987</c:v>
                </c:pt>
                <c:pt idx="3">
                  <c:v>0.46960000000000002</c:v>
                </c:pt>
                <c:pt idx="4">
                  <c:v>0.54810000000000003</c:v>
                </c:pt>
                <c:pt idx="5">
                  <c:v>0.6341</c:v>
                </c:pt>
                <c:pt idx="6">
                  <c:v>0.73880000000000001</c:v>
                </c:pt>
                <c:pt idx="7">
                  <c:v>0.83499999999999996</c:v>
                </c:pt>
                <c:pt idx="8">
                  <c:v>0.96719999999999995</c:v>
                </c:pt>
                <c:pt idx="9">
                  <c:v>1.1940999999999999</c:v>
                </c:pt>
                <c:pt idx="10">
                  <c:v>1.2698</c:v>
                </c:pt>
                <c:pt idx="11">
                  <c:v>1.4155</c:v>
                </c:pt>
                <c:pt idx="12">
                  <c:v>1.5899000000000001</c:v>
                </c:pt>
                <c:pt idx="13">
                  <c:v>1.9083000000000001</c:v>
                </c:pt>
                <c:pt idx="14">
                  <c:v>2.1223000000000001</c:v>
                </c:pt>
                <c:pt idx="15">
                  <c:v>2.2046999999999999</c:v>
                </c:pt>
                <c:pt idx="16">
                  <c:v>2.3288000000000002</c:v>
                </c:pt>
                <c:pt idx="17">
                  <c:v>2.4432999999999998</c:v>
                </c:pt>
                <c:pt idx="18">
                  <c:v>2.6034999999999999</c:v>
                </c:pt>
                <c:pt idx="19">
                  <c:v>2.7090000000000001</c:v>
                </c:pt>
                <c:pt idx="20">
                  <c:v>2.7896999999999998</c:v>
                </c:pt>
                <c:pt idx="21">
                  <c:v>2.8967000000000001</c:v>
                </c:pt>
                <c:pt idx="22">
                  <c:v>2.9687999999999999</c:v>
                </c:pt>
                <c:pt idx="23">
                  <c:v>3.0127000000000002</c:v>
                </c:pt>
                <c:pt idx="24">
                  <c:v>3.1034999999999999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A-4AE1-8925-661D858E795A}"/>
            </c:ext>
          </c:extLst>
        </c:ser>
        <c:ser>
          <c:idx val="2"/>
          <c:order val="1"/>
          <c:tx>
            <c:strRef>
              <c:f>power_card_resistors_1000ohm!$F$1</c:f>
              <c:strCache>
                <c:ptCount val="1"/>
                <c:pt idx="0">
                  <c:v>V Range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power_card_resistors_1000ohm!$C$2:$C$26</c:f>
              <c:strCache>
                <c:ptCount val="25"/>
                <c:pt idx="0">
                  <c:v>R15000</c:v>
                </c:pt>
                <c:pt idx="1">
                  <c:v>R10000</c:v>
                </c:pt>
                <c:pt idx="2">
                  <c:v>R8200</c:v>
                </c:pt>
                <c:pt idx="3">
                  <c:v>R6800</c:v>
                </c:pt>
                <c:pt idx="4">
                  <c:v>R5600</c:v>
                </c:pt>
                <c:pt idx="5">
                  <c:v>R4700</c:v>
                </c:pt>
                <c:pt idx="6">
                  <c:v>R3900</c:v>
                </c:pt>
                <c:pt idx="7">
                  <c:v>R3100</c:v>
                </c:pt>
                <c:pt idx="8">
                  <c:v>R2700</c:v>
                </c:pt>
                <c:pt idx="9">
                  <c:v>R2000</c:v>
                </c:pt>
                <c:pt idx="10">
                  <c:v>R1800</c:v>
                </c:pt>
                <c:pt idx="11">
                  <c:v>R1500</c:v>
                </c:pt>
                <c:pt idx="12">
                  <c:v>R1200</c:v>
                </c:pt>
                <c:pt idx="13">
                  <c:v>R820</c:v>
                </c:pt>
                <c:pt idx="14">
                  <c:v>R620</c:v>
                </c:pt>
                <c:pt idx="15">
                  <c:v>R560</c:v>
                </c:pt>
                <c:pt idx="16">
                  <c:v>R470</c:v>
                </c:pt>
                <c:pt idx="17">
                  <c:v>R390</c:v>
                </c:pt>
                <c:pt idx="18">
                  <c:v>R300</c:v>
                </c:pt>
                <c:pt idx="19">
                  <c:v>R240</c:v>
                </c:pt>
                <c:pt idx="20">
                  <c:v>R200</c:v>
                </c:pt>
                <c:pt idx="21">
                  <c:v>R150</c:v>
                </c:pt>
                <c:pt idx="22">
                  <c:v>R120</c:v>
                </c:pt>
                <c:pt idx="23">
                  <c:v>R100</c:v>
                </c:pt>
                <c:pt idx="24">
                  <c:v>R62</c:v>
                </c:pt>
              </c:strCache>
            </c:strRef>
          </c:cat>
          <c:val>
            <c:numRef>
              <c:f>power_card_resistors_1000ohm!$F$2:$F$26</c:f>
              <c:numCache>
                <c:formatCode>General</c:formatCode>
                <c:ptCount val="25"/>
                <c:pt idx="0">
                  <c:v>9.000000000000119E-4</c:v>
                </c:pt>
                <c:pt idx="1">
                  <c:v>8.9999999999995639E-4</c:v>
                </c:pt>
                <c:pt idx="2">
                  <c:v>1.0999999999999899E-3</c:v>
                </c:pt>
                <c:pt idx="3">
                  <c:v>1.1999999999999789E-3</c:v>
                </c:pt>
                <c:pt idx="4">
                  <c:v>1.0999999999999899E-3</c:v>
                </c:pt>
                <c:pt idx="5">
                  <c:v>9.000000000000119E-4</c:v>
                </c:pt>
                <c:pt idx="6">
                  <c:v>1.0000000000000009E-3</c:v>
                </c:pt>
                <c:pt idx="7">
                  <c:v>1.0000000000000009E-3</c:v>
                </c:pt>
                <c:pt idx="8">
                  <c:v>1.0000000000000009E-3</c:v>
                </c:pt>
                <c:pt idx="9">
                  <c:v>8.0000000000013394E-4</c:v>
                </c:pt>
                <c:pt idx="10">
                  <c:v>7.9999999999991189E-4</c:v>
                </c:pt>
                <c:pt idx="11">
                  <c:v>5.9999999999993392E-4</c:v>
                </c:pt>
                <c:pt idx="12">
                  <c:v>6.9999999999992291E-4</c:v>
                </c:pt>
                <c:pt idx="13">
                  <c:v>8.9999999999990088E-4</c:v>
                </c:pt>
                <c:pt idx="14">
                  <c:v>7.9999999999991189E-4</c:v>
                </c:pt>
                <c:pt idx="15">
                  <c:v>7.0000000000014495E-4</c:v>
                </c:pt>
                <c:pt idx="16">
                  <c:v>6.9999999999970086E-4</c:v>
                </c:pt>
                <c:pt idx="17">
                  <c:v>1.000000000000334E-3</c:v>
                </c:pt>
                <c:pt idx="18">
                  <c:v>2.0000000000002238E-3</c:v>
                </c:pt>
                <c:pt idx="19">
                  <c:v>9.0000000000012292E-4</c:v>
                </c:pt>
                <c:pt idx="20">
                  <c:v>1.2000000000003119E-3</c:v>
                </c:pt>
                <c:pt idx="21">
                  <c:v>9.9999999999988987E-4</c:v>
                </c:pt>
                <c:pt idx="22">
                  <c:v>7.0000000000014495E-4</c:v>
                </c:pt>
                <c:pt idx="23">
                  <c:v>8.9999999999967883E-4</c:v>
                </c:pt>
                <c:pt idx="24">
                  <c:v>5.9999999999993392E-4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5A-4AE1-8925-661D858E7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3204880"/>
        <c:axId val="1183206800"/>
      </c:barChart>
      <c:lineChart>
        <c:grouping val="standard"/>
        <c:varyColors val="0"/>
        <c:ser>
          <c:idx val="0"/>
          <c:order val="2"/>
          <c:tx>
            <c:strRef>
              <c:f>power_card_resistors_1000ohm!$G$1</c:f>
              <c:strCache>
                <c:ptCount val="1"/>
                <c:pt idx="0">
                  <c:v>Risk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power_card_resistors_1000ohm!$G$2:$G$26</c:f>
              <c:numCache>
                <c:formatCode>General</c:formatCode>
                <c:ptCount val="25"/>
                <c:pt idx="0">
                  <c:v>0.89108910891090298</c:v>
                </c:pt>
                <c:pt idx="1">
                  <c:v>0.89108910891084814</c:v>
                </c:pt>
                <c:pt idx="2">
                  <c:v>1.5256588072121913</c:v>
                </c:pt>
                <c:pt idx="3">
                  <c:v>1.5075376884421845</c:v>
                </c:pt>
                <c:pt idx="4">
                  <c:v>1.2658227848101153</c:v>
                </c:pt>
                <c:pt idx="5">
                  <c:v>0.85146641438033288</c:v>
                </c:pt>
                <c:pt idx="6">
                  <c:v>0.94607379375591361</c:v>
                </c:pt>
                <c:pt idx="7">
                  <c:v>0.75075075075075148</c:v>
                </c:pt>
                <c:pt idx="8">
                  <c:v>0.43917435221783069</c:v>
                </c:pt>
                <c:pt idx="9">
                  <c:v>0.35133948177432306</c:v>
                </c:pt>
                <c:pt idx="10">
                  <c:v>0.5468215994531187</c:v>
                </c:pt>
                <c:pt idx="11">
                  <c:v>0.34266133637917406</c:v>
                </c:pt>
                <c:pt idx="12">
                  <c:v>0.2192295646726975</c:v>
                </c:pt>
                <c:pt idx="13">
                  <c:v>0.28186658315061108</c:v>
                </c:pt>
                <c:pt idx="14">
                  <c:v>0.37243947858468918</c:v>
                </c:pt>
                <c:pt idx="15">
                  <c:v>0.56089743589755192</c:v>
                </c:pt>
                <c:pt idx="16">
                  <c:v>0.56089743589719609</c:v>
                </c:pt>
                <c:pt idx="17">
                  <c:v>0.61652281134422438</c:v>
                </c:pt>
                <c:pt idx="18">
                  <c:v>1.2330456226881747</c:v>
                </c:pt>
                <c:pt idx="19">
                  <c:v>0.84586466165424878</c:v>
                </c:pt>
                <c:pt idx="20">
                  <c:v>1.1111111111113989</c:v>
                </c:pt>
                <c:pt idx="21">
                  <c:v>0.92592592592582323</c:v>
                </c:pt>
                <c:pt idx="22">
                  <c:v>0.96153846153866096</c:v>
                </c:pt>
                <c:pt idx="23">
                  <c:v>0.98468271334757307</c:v>
                </c:pt>
                <c:pt idx="24">
                  <c:v>0.65645514223187729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5A-4AE1-8925-661D858E7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204880"/>
        <c:axId val="1183206800"/>
      </c:lineChart>
      <c:catAx>
        <c:axId val="11832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206800"/>
        <c:crosses val="autoZero"/>
        <c:auto val="1"/>
        <c:lblAlgn val="ctr"/>
        <c:lblOffset val="100"/>
        <c:noMultiLvlLbl val="0"/>
      </c:catAx>
      <c:valAx>
        <c:axId val="11832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20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182334</xdr:colOff>
      <xdr:row>0</xdr:row>
      <xdr:rowOff>59871</xdr:rowOff>
    </xdr:from>
    <xdr:to>
      <xdr:col>15</xdr:col>
      <xdr:colOff>228600</xdr:colOff>
      <xdr:row>31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3C4E8A-8634-D8B2-4E5F-A265B0409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D215-D43D-45C0-83E1-C457AB3706BE}">
  <dimension ref="A1:H33"/>
  <sheetViews>
    <sheetView tabSelected="1" topLeftCell="A6" workbookViewId="0">
      <selection activeCell="A39" sqref="A39"/>
    </sheetView>
  </sheetViews>
  <sheetFormatPr defaultRowHeight="14.6" x14ac:dyDescent="0.4"/>
  <sheetData>
    <row r="1" spans="1:8" x14ac:dyDescent="0.4">
      <c r="A1" t="s">
        <v>2</v>
      </c>
      <c r="C1" t="s">
        <v>3</v>
      </c>
      <c r="D1" t="s">
        <v>0</v>
      </c>
      <c r="E1" t="s">
        <v>1</v>
      </c>
      <c r="F1" t="s">
        <v>4</v>
      </c>
      <c r="G1" t="s">
        <v>6</v>
      </c>
      <c r="H1" t="s">
        <v>5</v>
      </c>
    </row>
    <row r="2" spans="1:8" x14ac:dyDescent="0.4">
      <c r="A2">
        <v>15000</v>
      </c>
      <c r="C2" t="str">
        <f>"R" &amp;A2</f>
        <v>R15000</v>
      </c>
      <c r="D2">
        <v>0.23730000000000001</v>
      </c>
      <c r="E2">
        <v>0.2364</v>
      </c>
      <c r="F2">
        <f>D2-E2</f>
        <v>9.000000000000119E-4</v>
      </c>
      <c r="G2" s="1">
        <f>F2/H2 *100</f>
        <v>0.89108910891090298</v>
      </c>
      <c r="H2">
        <f>D3-E2</f>
        <v>0.10099999999999998</v>
      </c>
    </row>
    <row r="3" spans="1:8" x14ac:dyDescent="0.4">
      <c r="A3">
        <v>10000</v>
      </c>
      <c r="C3" t="str">
        <f t="shared" ref="C3:C26" si="0">"R" &amp;A3</f>
        <v>R10000</v>
      </c>
      <c r="D3">
        <v>0.33739999999999998</v>
      </c>
      <c r="E3">
        <v>0.33650000000000002</v>
      </c>
      <c r="F3">
        <f t="shared" ref="F3:F26" si="1">D3-E3</f>
        <v>8.9999999999995639E-4</v>
      </c>
      <c r="G3" s="1">
        <f t="shared" ref="G3:G26" si="2">F3/H3 *100</f>
        <v>0.89108910891084814</v>
      </c>
      <c r="H3">
        <f>MAX(D3-E2,D4-E3)</f>
        <v>0.10099999999999998</v>
      </c>
    </row>
    <row r="4" spans="1:8" x14ac:dyDescent="0.4">
      <c r="A4">
        <v>8200</v>
      </c>
      <c r="C4" t="str">
        <f t="shared" si="0"/>
        <v>R8200</v>
      </c>
      <c r="D4">
        <v>0.39979999999999999</v>
      </c>
      <c r="E4">
        <v>0.3987</v>
      </c>
      <c r="F4">
        <f t="shared" si="1"/>
        <v>1.0999999999999899E-3</v>
      </c>
      <c r="G4" s="1">
        <f t="shared" si="2"/>
        <v>1.5256588072121913</v>
      </c>
      <c r="H4">
        <f t="shared" ref="H4:H9" si="3">MAX(D4-E3,D5-E4)</f>
        <v>7.2099999999999997E-2</v>
      </c>
    </row>
    <row r="5" spans="1:8" x14ac:dyDescent="0.4">
      <c r="A5">
        <v>6800</v>
      </c>
      <c r="C5" t="str">
        <f t="shared" si="0"/>
        <v>R6800</v>
      </c>
      <c r="D5">
        <v>0.4708</v>
      </c>
      <c r="E5">
        <v>0.46960000000000002</v>
      </c>
      <c r="F5">
        <f t="shared" si="1"/>
        <v>1.1999999999999789E-3</v>
      </c>
      <c r="G5" s="1">
        <f t="shared" si="2"/>
        <v>1.5075376884421845</v>
      </c>
      <c r="H5">
        <f t="shared" si="3"/>
        <v>7.9600000000000004E-2</v>
      </c>
    </row>
    <row r="6" spans="1:8" x14ac:dyDescent="0.4">
      <c r="A6">
        <v>5600</v>
      </c>
      <c r="C6" t="str">
        <f t="shared" si="0"/>
        <v>R5600</v>
      </c>
      <c r="D6">
        <v>0.54920000000000002</v>
      </c>
      <c r="E6">
        <v>0.54810000000000003</v>
      </c>
      <c r="F6">
        <f t="shared" si="1"/>
        <v>1.0999999999999899E-3</v>
      </c>
      <c r="G6" s="1">
        <f t="shared" si="2"/>
        <v>1.2658227848101153</v>
      </c>
      <c r="H6">
        <f t="shared" si="3"/>
        <v>8.6899999999999977E-2</v>
      </c>
    </row>
    <row r="7" spans="1:8" x14ac:dyDescent="0.4">
      <c r="A7">
        <v>4700</v>
      </c>
      <c r="C7" t="str">
        <f t="shared" si="0"/>
        <v>R4700</v>
      </c>
      <c r="D7">
        <v>0.63500000000000001</v>
      </c>
      <c r="E7">
        <v>0.6341</v>
      </c>
      <c r="F7">
        <f t="shared" si="1"/>
        <v>9.000000000000119E-4</v>
      </c>
      <c r="G7" s="1">
        <f t="shared" si="2"/>
        <v>0.85146641438033288</v>
      </c>
      <c r="H7">
        <f t="shared" si="3"/>
        <v>0.10570000000000002</v>
      </c>
    </row>
    <row r="8" spans="1:8" x14ac:dyDescent="0.4">
      <c r="A8">
        <v>3900</v>
      </c>
      <c r="C8" t="str">
        <f t="shared" si="0"/>
        <v>R3900</v>
      </c>
      <c r="D8">
        <v>0.73980000000000001</v>
      </c>
      <c r="E8">
        <v>0.73880000000000001</v>
      </c>
      <c r="F8">
        <f t="shared" si="1"/>
        <v>1.0000000000000009E-3</v>
      </c>
      <c r="G8" s="1">
        <f t="shared" si="2"/>
        <v>0.94607379375591361</v>
      </c>
      <c r="H8">
        <f t="shared" si="3"/>
        <v>0.10570000000000002</v>
      </c>
    </row>
    <row r="9" spans="1:8" x14ac:dyDescent="0.4">
      <c r="A9">
        <v>3100</v>
      </c>
      <c r="C9" t="str">
        <f t="shared" si="0"/>
        <v>R3100</v>
      </c>
      <c r="D9">
        <v>0.83599999999999997</v>
      </c>
      <c r="E9">
        <v>0.83499999999999996</v>
      </c>
      <c r="F9">
        <f t="shared" si="1"/>
        <v>1.0000000000000009E-3</v>
      </c>
      <c r="G9" s="1">
        <f t="shared" si="2"/>
        <v>0.75075075075075148</v>
      </c>
      <c r="H9">
        <f t="shared" si="3"/>
        <v>0.13319999999999999</v>
      </c>
    </row>
    <row r="10" spans="1:8" x14ac:dyDescent="0.4">
      <c r="A10">
        <v>2700</v>
      </c>
      <c r="C10" t="str">
        <f t="shared" si="0"/>
        <v>R2700</v>
      </c>
      <c r="D10">
        <v>0.96819999999999995</v>
      </c>
      <c r="E10">
        <v>0.96719999999999995</v>
      </c>
      <c r="F10">
        <f t="shared" si="1"/>
        <v>1.0000000000000009E-3</v>
      </c>
      <c r="G10" s="1">
        <f t="shared" si="2"/>
        <v>0.43917435221783069</v>
      </c>
      <c r="H10">
        <f t="shared" ref="H8:H26" si="4">MAX(D10-E9,D11-E10)</f>
        <v>0.22770000000000012</v>
      </c>
    </row>
    <row r="11" spans="1:8" x14ac:dyDescent="0.4">
      <c r="A11">
        <v>2000</v>
      </c>
      <c r="C11" t="str">
        <f t="shared" si="0"/>
        <v>R2000</v>
      </c>
      <c r="D11">
        <v>1.1949000000000001</v>
      </c>
      <c r="E11">
        <v>1.1940999999999999</v>
      </c>
      <c r="F11">
        <f t="shared" si="1"/>
        <v>8.0000000000013394E-4</v>
      </c>
      <c r="G11" s="1">
        <f t="shared" si="2"/>
        <v>0.35133948177432306</v>
      </c>
      <c r="H11">
        <f t="shared" si="4"/>
        <v>0.22770000000000012</v>
      </c>
    </row>
    <row r="12" spans="1:8" x14ac:dyDescent="0.4">
      <c r="A12">
        <v>1800</v>
      </c>
      <c r="C12" t="str">
        <f t="shared" si="0"/>
        <v>R1800</v>
      </c>
      <c r="D12">
        <v>1.2706</v>
      </c>
      <c r="E12">
        <v>1.2698</v>
      </c>
      <c r="F12">
        <f t="shared" si="1"/>
        <v>7.9999999999991189E-4</v>
      </c>
      <c r="G12" s="1">
        <f t="shared" si="2"/>
        <v>0.5468215994531187</v>
      </c>
      <c r="H12">
        <f t="shared" si="4"/>
        <v>0.14629999999999987</v>
      </c>
    </row>
    <row r="13" spans="1:8" x14ac:dyDescent="0.4">
      <c r="A13">
        <v>1500</v>
      </c>
      <c r="C13" t="str">
        <f t="shared" si="0"/>
        <v>R1500</v>
      </c>
      <c r="D13">
        <v>1.4160999999999999</v>
      </c>
      <c r="E13">
        <v>1.4155</v>
      </c>
      <c r="F13">
        <f t="shared" si="1"/>
        <v>5.9999999999993392E-4</v>
      </c>
      <c r="G13" s="1">
        <f t="shared" si="2"/>
        <v>0.34266133637917406</v>
      </c>
      <c r="H13">
        <f t="shared" si="4"/>
        <v>0.17510000000000003</v>
      </c>
    </row>
    <row r="14" spans="1:8" x14ac:dyDescent="0.4">
      <c r="A14">
        <v>1200</v>
      </c>
      <c r="C14" t="str">
        <f t="shared" si="0"/>
        <v>R1200</v>
      </c>
      <c r="D14">
        <v>1.5906</v>
      </c>
      <c r="E14">
        <v>1.5899000000000001</v>
      </c>
      <c r="F14">
        <f t="shared" si="1"/>
        <v>6.9999999999992291E-4</v>
      </c>
      <c r="G14" s="1">
        <f t="shared" si="2"/>
        <v>0.2192295646726975</v>
      </c>
      <c r="H14">
        <f t="shared" si="4"/>
        <v>0.31929999999999992</v>
      </c>
    </row>
    <row r="15" spans="1:8" x14ac:dyDescent="0.4">
      <c r="A15">
        <v>820</v>
      </c>
      <c r="C15" t="str">
        <f t="shared" si="0"/>
        <v>R820</v>
      </c>
      <c r="D15">
        <v>1.9092</v>
      </c>
      <c r="E15">
        <v>1.9083000000000001</v>
      </c>
      <c r="F15">
        <f t="shared" si="1"/>
        <v>8.9999999999990088E-4</v>
      </c>
      <c r="G15" s="1">
        <f t="shared" si="2"/>
        <v>0.28186658315061108</v>
      </c>
      <c r="H15">
        <f t="shared" si="4"/>
        <v>0.31929999999999992</v>
      </c>
    </row>
    <row r="16" spans="1:8" x14ac:dyDescent="0.4">
      <c r="A16">
        <v>620</v>
      </c>
      <c r="C16" t="str">
        <f t="shared" si="0"/>
        <v>R620</v>
      </c>
      <c r="D16">
        <v>2.1231</v>
      </c>
      <c r="E16">
        <v>2.1223000000000001</v>
      </c>
      <c r="F16">
        <f t="shared" si="1"/>
        <v>7.9999999999991189E-4</v>
      </c>
      <c r="G16" s="1">
        <f t="shared" si="2"/>
        <v>0.37243947858468918</v>
      </c>
      <c r="H16">
        <f t="shared" si="4"/>
        <v>0.21479999999999988</v>
      </c>
    </row>
    <row r="17" spans="1:8" x14ac:dyDescent="0.4">
      <c r="A17">
        <v>560</v>
      </c>
      <c r="C17" t="str">
        <f t="shared" si="0"/>
        <v>R560</v>
      </c>
      <c r="D17">
        <v>2.2054</v>
      </c>
      <c r="E17">
        <v>2.2046999999999999</v>
      </c>
      <c r="F17">
        <f t="shared" si="1"/>
        <v>7.0000000000014495E-4</v>
      </c>
      <c r="G17" s="1">
        <f t="shared" si="2"/>
        <v>0.56089743589755192</v>
      </c>
      <c r="H17">
        <f t="shared" si="4"/>
        <v>0.12480000000000002</v>
      </c>
    </row>
    <row r="18" spans="1:8" x14ac:dyDescent="0.4">
      <c r="A18">
        <v>470</v>
      </c>
      <c r="C18" t="str">
        <f t="shared" si="0"/>
        <v>R470</v>
      </c>
      <c r="D18">
        <v>2.3294999999999999</v>
      </c>
      <c r="E18">
        <v>2.3288000000000002</v>
      </c>
      <c r="F18">
        <f t="shared" si="1"/>
        <v>6.9999999999970086E-4</v>
      </c>
      <c r="G18" s="1">
        <f t="shared" si="2"/>
        <v>0.56089743589719609</v>
      </c>
      <c r="H18">
        <f t="shared" si="4"/>
        <v>0.12480000000000002</v>
      </c>
    </row>
    <row r="19" spans="1:8" x14ac:dyDescent="0.4">
      <c r="A19">
        <v>390</v>
      </c>
      <c r="C19" t="str">
        <f t="shared" si="0"/>
        <v>R390</v>
      </c>
      <c r="D19">
        <v>2.4443000000000001</v>
      </c>
      <c r="E19">
        <v>2.4432999999999998</v>
      </c>
      <c r="F19">
        <f t="shared" si="1"/>
        <v>1.000000000000334E-3</v>
      </c>
      <c r="G19" s="1">
        <f t="shared" si="2"/>
        <v>0.61652281134422438</v>
      </c>
      <c r="H19">
        <f t="shared" si="4"/>
        <v>0.16220000000000034</v>
      </c>
    </row>
    <row r="20" spans="1:8" x14ac:dyDescent="0.4">
      <c r="A20">
        <v>300</v>
      </c>
      <c r="C20" t="str">
        <f t="shared" si="0"/>
        <v>R300</v>
      </c>
      <c r="D20">
        <v>2.6055000000000001</v>
      </c>
      <c r="E20">
        <v>2.6034999999999999</v>
      </c>
      <c r="F20">
        <f t="shared" si="1"/>
        <v>2.0000000000002238E-3</v>
      </c>
      <c r="G20" s="1">
        <f t="shared" si="2"/>
        <v>1.2330456226881747</v>
      </c>
      <c r="H20">
        <f t="shared" si="4"/>
        <v>0.16220000000000034</v>
      </c>
    </row>
    <row r="21" spans="1:8" x14ac:dyDescent="0.4">
      <c r="A21">
        <v>240</v>
      </c>
      <c r="C21" t="str">
        <f t="shared" si="0"/>
        <v>R240</v>
      </c>
      <c r="D21">
        <v>2.7099000000000002</v>
      </c>
      <c r="E21">
        <v>2.7090000000000001</v>
      </c>
      <c r="F21">
        <f t="shared" si="1"/>
        <v>9.0000000000012292E-4</v>
      </c>
      <c r="G21" s="1">
        <f t="shared" si="2"/>
        <v>0.84586466165424878</v>
      </c>
      <c r="H21">
        <f t="shared" si="4"/>
        <v>0.10640000000000027</v>
      </c>
    </row>
    <row r="22" spans="1:8" x14ac:dyDescent="0.4">
      <c r="A22">
        <v>200</v>
      </c>
      <c r="C22" t="str">
        <f t="shared" si="0"/>
        <v>R200</v>
      </c>
      <c r="D22">
        <v>2.7909000000000002</v>
      </c>
      <c r="E22">
        <v>2.7896999999999998</v>
      </c>
      <c r="F22">
        <f t="shared" si="1"/>
        <v>1.2000000000003119E-3</v>
      </c>
      <c r="G22" s="1">
        <f t="shared" si="2"/>
        <v>1.1111111111113989</v>
      </c>
      <c r="H22">
        <f t="shared" si="4"/>
        <v>0.1080000000000001</v>
      </c>
    </row>
    <row r="23" spans="1:8" x14ac:dyDescent="0.4">
      <c r="A23">
        <v>150</v>
      </c>
      <c r="C23" t="str">
        <f t="shared" si="0"/>
        <v>R150</v>
      </c>
      <c r="D23">
        <v>2.8976999999999999</v>
      </c>
      <c r="E23">
        <v>2.8967000000000001</v>
      </c>
      <c r="F23">
        <f t="shared" si="1"/>
        <v>9.9999999999988987E-4</v>
      </c>
      <c r="G23" s="1">
        <f t="shared" si="2"/>
        <v>0.92592592592582323</v>
      </c>
      <c r="H23">
        <f t="shared" si="4"/>
        <v>0.1080000000000001</v>
      </c>
    </row>
    <row r="24" spans="1:8" x14ac:dyDescent="0.4">
      <c r="A24">
        <v>120</v>
      </c>
      <c r="C24" t="str">
        <f t="shared" si="0"/>
        <v>R120</v>
      </c>
      <c r="D24">
        <v>2.9695</v>
      </c>
      <c r="E24">
        <v>2.9687999999999999</v>
      </c>
      <c r="F24">
        <f t="shared" si="1"/>
        <v>7.0000000000014495E-4</v>
      </c>
      <c r="G24" s="1">
        <f t="shared" si="2"/>
        <v>0.96153846153866096</v>
      </c>
      <c r="H24">
        <f t="shared" si="4"/>
        <v>7.2799999999999976E-2</v>
      </c>
    </row>
    <row r="25" spans="1:8" x14ac:dyDescent="0.4">
      <c r="A25">
        <v>100</v>
      </c>
      <c r="C25" t="str">
        <f t="shared" si="0"/>
        <v>R100</v>
      </c>
      <c r="D25">
        <v>3.0135999999999998</v>
      </c>
      <c r="E25">
        <v>3.0127000000000002</v>
      </c>
      <c r="F25">
        <f t="shared" si="1"/>
        <v>8.9999999999967883E-4</v>
      </c>
      <c r="G25" s="1">
        <f t="shared" si="2"/>
        <v>0.98468271334757307</v>
      </c>
      <c r="H25">
        <f t="shared" si="4"/>
        <v>9.1399999999999704E-2</v>
      </c>
    </row>
    <row r="26" spans="1:8" x14ac:dyDescent="0.4">
      <c r="A26">
        <v>62</v>
      </c>
      <c r="C26" t="str">
        <f t="shared" si="0"/>
        <v>R62</v>
      </c>
      <c r="D26">
        <v>3.1040999999999999</v>
      </c>
      <c r="E26">
        <v>3.1034999999999999</v>
      </c>
      <c r="F26">
        <f t="shared" si="1"/>
        <v>5.9999999999993392E-4</v>
      </c>
      <c r="G26" s="1">
        <f t="shared" si="2"/>
        <v>0.65645514223187729</v>
      </c>
      <c r="H26">
        <f t="shared" si="4"/>
        <v>9.1399999999999704E-2</v>
      </c>
    </row>
    <row r="29" spans="1:8" x14ac:dyDescent="0.4">
      <c r="A29" t="s">
        <v>7</v>
      </c>
      <c r="C29" t="s">
        <v>8</v>
      </c>
    </row>
    <row r="30" spans="1:8" x14ac:dyDescent="0.4">
      <c r="A30" t="s">
        <v>9</v>
      </c>
      <c r="C30" t="s">
        <v>10</v>
      </c>
    </row>
    <row r="31" spans="1:8" x14ac:dyDescent="0.4">
      <c r="A31" t="s">
        <v>11</v>
      </c>
    </row>
    <row r="32" spans="1:8" ht="17.149999999999999" x14ac:dyDescent="0.55000000000000004">
      <c r="A32" t="s">
        <v>13</v>
      </c>
    </row>
    <row r="33" spans="1:3" x14ac:dyDescent="0.4">
      <c r="A33" t="s">
        <v>12</v>
      </c>
      <c r="C33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power_card_resistors_1000ohm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Southern</cp:lastModifiedBy>
  <dcterms:created xsi:type="dcterms:W3CDTF">2026-04-26T18:12:07Z</dcterms:created>
  <dcterms:modified xsi:type="dcterms:W3CDTF">2026-04-26T18:19:20Z</dcterms:modified>
</cp:coreProperties>
</file>