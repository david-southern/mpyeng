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S2812 Wire 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6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WS2812 Wire-Time Calculator</t>
        </is>
      </c>
    </row>
    <row r="2">
      <c r="A2" t="inlineStr">
        <is>
          <t>Per-frame wire time and theoretical max FPS for a WS2812 chain. Yellow cells are inputs; green cells are calculated.</t>
        </is>
      </c>
    </row>
    <row r="4">
      <c r="A4" s="2" t="inlineStr">
        <is>
          <t>INPUTS</t>
        </is>
      </c>
    </row>
    <row r="5">
      <c r="A5" t="inlineStr">
        <is>
          <t>Total pixels:</t>
        </is>
      </c>
      <c r="B5" s="3" t="n">
        <v>2220</v>
      </c>
      <c r="C5" t="inlineStr">
        <is>
          <t>Right board: 30 trays × 74 pixels = 2220. Left board: ~768.</t>
        </is>
      </c>
    </row>
    <row r="6">
      <c r="A6" t="inlineStr">
        <is>
          <t>Bit rate (kbps):</t>
        </is>
      </c>
      <c r="B6" s="3" t="n">
        <v>800</v>
      </c>
      <c r="C6" t="inlineStr">
        <is>
          <t>WS2812 nominal: 800. WS2812B may tolerate higher (see notes).</t>
        </is>
      </c>
    </row>
    <row r="7">
      <c r="A7" t="inlineStr">
        <is>
          <t>Latch time (µs):</t>
        </is>
      </c>
      <c r="B7" s="3" t="n">
        <v>50</v>
      </c>
      <c r="C7" t="inlineStr">
        <is>
          <t>Min low time at end of frame. WS2812 spec: 50 µs.</t>
        </is>
      </c>
    </row>
    <row r="8">
      <c r="A8" t="inlineStr">
        <is>
          <t>Bits per pixel:</t>
        </is>
      </c>
      <c r="B8" s="3" t="n">
        <v>24</v>
      </c>
      <c r="C8" t="inlineStr">
        <is>
          <t>Fixed by WS2812 protocol (8 bits each of G, R, B). Editable for what-if.</t>
        </is>
      </c>
    </row>
    <row r="10">
      <c r="A10" s="2" t="inlineStr">
        <is>
          <t>CALCULATIONS</t>
        </is>
      </c>
    </row>
    <row r="11">
      <c r="A11" t="inlineStr">
        <is>
          <t>Time per bit (µs):</t>
        </is>
      </c>
      <c r="B11" s="4">
        <f>1000/$B$6</f>
        <v/>
      </c>
      <c r="C11">
        <f> 1000 / bit_rate_kbps</f>
        <v/>
      </c>
    </row>
    <row r="12">
      <c r="A12" t="inlineStr">
        <is>
          <t>Time per pixel (µs):</t>
        </is>
      </c>
      <c r="B12" s="4">
        <f>$B$8*$B$11</f>
        <v/>
      </c>
      <c r="C12">
        <f> bits_per_pixel × time_per_bit</f>
        <v/>
      </c>
    </row>
    <row r="13">
      <c r="A13" t="inlineStr">
        <is>
          <t>Wire time (ms):</t>
        </is>
      </c>
      <c r="B13" s="4">
        <f>$B$5*$B$12/1000</f>
        <v/>
      </c>
      <c r="C13">
        <f> total_pixels × time_per_pixel / 1000</f>
        <v/>
      </c>
    </row>
    <row r="14">
      <c r="A14" t="inlineStr">
        <is>
          <t>Latch time (ms):</t>
        </is>
      </c>
      <c r="B14" s="4">
        <f>$B$7/1000</f>
        <v/>
      </c>
      <c r="C14">
        <f> latch_us / 1000</f>
        <v/>
      </c>
    </row>
    <row r="15">
      <c r="A15" t="inlineStr">
        <is>
          <t>Total frame time (ms):</t>
        </is>
      </c>
      <c r="B15" s="4">
        <f>$B$13+$B$14</f>
        <v/>
      </c>
      <c r="C15">
        <f> wire + latch</f>
        <v/>
      </c>
    </row>
    <row r="16">
      <c r="A16" s="2" t="inlineStr">
        <is>
          <t>Max FPS:</t>
        </is>
      </c>
      <c r="B16" s="5">
        <f>1000/$B$15</f>
        <v/>
      </c>
      <c r="C16">
        <f> 1000 / total_frame_ms</f>
        <v/>
      </c>
    </row>
    <row r="18">
      <c r="A18" s="2" t="inlineStr">
        <is>
          <t>MAX FPS — pixel count × bit rate</t>
        </is>
      </c>
    </row>
    <row r="19">
      <c r="A19" t="inlineStr">
        <is>
          <t>(Uses input latch and bits-per-pixel from above; varies pixels and bit rate)</t>
        </is>
      </c>
    </row>
    <row r="21">
      <c r="A21" s="2" t="inlineStr">
        <is>
          <t>Pixel count ↓  /  Bit rate kbps →</t>
        </is>
      </c>
      <c r="B21" s="2" t="n">
        <v>800</v>
      </c>
      <c r="C21" s="2" t="n">
        <v>1000</v>
      </c>
      <c r="D21" s="2" t="n">
        <v>1200</v>
      </c>
      <c r="E21" s="2" t="n">
        <v>1600</v>
      </c>
      <c r="F21" s="2" t="n">
        <v>2400</v>
      </c>
      <c r="G21" s="2" t="n">
        <v>3200</v>
      </c>
    </row>
    <row r="22">
      <c r="A22" t="inlineStr">
        <is>
          <t>74 px — 1 tray</t>
        </is>
      </c>
      <c r="B22" s="6">
        <f>1000/(74*$B$8/800+$B$7/1000)</f>
        <v/>
      </c>
      <c r="C22" s="6">
        <f>1000/(74*$B$8/1000+$B$7/1000)</f>
        <v/>
      </c>
      <c r="D22" s="6">
        <f>1000/(74*$B$8/1200+$B$7/1000)</f>
        <v/>
      </c>
      <c r="E22" s="6">
        <f>1000/(74*$B$8/1600+$B$7/1000)</f>
        <v/>
      </c>
      <c r="F22" s="6">
        <f>1000/(74*$B$8/2400+$B$7/1000)</f>
        <v/>
      </c>
      <c r="G22" s="6">
        <f>1000/(74*$B$8/3200+$B$7/1000)</f>
        <v/>
      </c>
    </row>
    <row r="23">
      <c r="A23" t="inlineStr">
        <is>
          <t>370 px — 5 trays / 1 bus row</t>
        </is>
      </c>
      <c r="B23" s="6">
        <f>1000/(370*$B$8/800+$B$7/1000)</f>
        <v/>
      </c>
      <c r="C23" s="6">
        <f>1000/(370*$B$8/1000+$B$7/1000)</f>
        <v/>
      </c>
      <c r="D23" s="6">
        <f>1000/(370*$B$8/1200+$B$7/1000)</f>
        <v/>
      </c>
      <c r="E23" s="6">
        <f>1000/(370*$B$8/1600+$B$7/1000)</f>
        <v/>
      </c>
      <c r="F23" s="6">
        <f>1000/(370*$B$8/2400+$B$7/1000)</f>
        <v/>
      </c>
      <c r="G23" s="6">
        <f>1000/(370*$B$8/3200+$B$7/1000)</f>
        <v/>
      </c>
    </row>
    <row r="24">
      <c r="A24" t="inlineStr">
        <is>
          <t>768 px — Left panel (David's est.)</t>
        </is>
      </c>
      <c r="B24" s="6">
        <f>1000/(768*$B$8/800+$B$7/1000)</f>
        <v/>
      </c>
      <c r="C24" s="6">
        <f>1000/(768*$B$8/1000+$B$7/1000)</f>
        <v/>
      </c>
      <c r="D24" s="6">
        <f>1000/(768*$B$8/1200+$B$7/1000)</f>
        <v/>
      </c>
      <c r="E24" s="6">
        <f>1000/(768*$B$8/1600+$B$7/1000)</f>
        <v/>
      </c>
      <c r="F24" s="6">
        <f>1000/(768*$B$8/2400+$B$7/1000)</f>
        <v/>
      </c>
      <c r="G24" s="6">
        <f>1000/(768*$B$8/3200+$B$7/1000)</f>
        <v/>
      </c>
    </row>
    <row r="25">
      <c r="A25" t="inlineStr">
        <is>
          <t>1110 px — Half right panel</t>
        </is>
      </c>
      <c r="B25" s="6">
        <f>1000/(1110*$B$8/800+$B$7/1000)</f>
        <v/>
      </c>
      <c r="C25" s="6">
        <f>1000/(1110*$B$8/1000+$B$7/1000)</f>
        <v/>
      </c>
      <c r="D25" s="6">
        <f>1000/(1110*$B$8/1200+$B$7/1000)</f>
        <v/>
      </c>
      <c r="E25" s="6">
        <f>1000/(1110*$B$8/1600+$B$7/1000)</f>
        <v/>
      </c>
      <c r="F25" s="6">
        <f>1000/(1110*$B$8/2400+$B$7/1000)</f>
        <v/>
      </c>
      <c r="G25" s="6">
        <f>1000/(1110*$B$8/3200+$B$7/1000)</f>
        <v/>
      </c>
    </row>
    <row r="26">
      <c r="A26" t="inlineStr">
        <is>
          <t>2220 px — Full right panel</t>
        </is>
      </c>
      <c r="B26" s="6">
        <f>1000/(2220*$B$8/800+$B$7/1000)</f>
        <v/>
      </c>
      <c r="C26" s="6">
        <f>1000/(2220*$B$8/1000+$B$7/1000)</f>
        <v/>
      </c>
      <c r="D26" s="6">
        <f>1000/(2220*$B$8/1200+$B$7/1000)</f>
        <v/>
      </c>
      <c r="E26" s="6">
        <f>1000/(2220*$B$8/1600+$B$7/1000)</f>
        <v/>
      </c>
      <c r="F26" s="6">
        <f>1000/(2220*$B$8/2400+$B$7/1000)</f>
        <v/>
      </c>
      <c r="G26" s="6">
        <f>1000/(2220*$B$8/3200+$B$7/1000)</f>
        <v/>
      </c>
    </row>
    <row r="29">
      <c r="A29" s="2" t="inlineStr">
        <is>
          <t>NOTES</t>
        </is>
      </c>
    </row>
    <row r="30">
      <c r="A30" t="inlineStr">
        <is>
          <t>WS2812 nominal data rate is 800 kbps with strict timing (~150 ns pulse-width tolerance).</t>
        </is>
      </c>
    </row>
    <row r="31">
      <c r="A31" t="inlineStr">
        <is>
          <t>WS2812B variants (most modern chains) tolerate higher rates — community reports of 1.0–1.6</t>
        </is>
      </c>
    </row>
    <row r="32">
      <c r="A32" t="inlineStr">
        <is>
          <t>Mbps working with short cable runs and WS2812B-V5 chips.</t>
        </is>
      </c>
    </row>
    <row r="33">
      <c r="A33" t="inlineStr">
        <is>
          <t>Above ~1.6 Mbps, signal integrity becomes the limiting factor: cable length, termination,</t>
        </is>
      </c>
    </row>
    <row r="34">
      <c r="A34" t="inlineStr">
        <is>
          <t>and driver impedance all matter. Verify on the actual chain with an oscilloscope.</t>
        </is>
      </c>
    </row>
    <row r="35">
      <c r="A35" t="inlineStr">
        <is>
          <t>SK6812 chips generally tolerate higher rates than WS2812. WS2813 (dual-data-line variant)</t>
        </is>
      </c>
    </row>
    <row r="36">
      <c r="A36" t="inlineStr">
        <is>
          <t>tends to be more forgiving still. Mileage varies by manufacturer batch.</t>
        </is>
      </c>
    </row>
    <row r="37">
      <c r="A37" t="inlineStr">
        <is>
          <t>Latch time dominates total frame time on short chains. For 74-pixel single-tray chains the</t>
        </is>
      </c>
    </row>
    <row r="38">
      <c r="A38" t="inlineStr">
        <is>
          <t>latch is ~2% of total; for 2220-pixel chains it's &lt;0.1%.</t>
        </is>
      </c>
    </row>
    <row r="39">
      <c r="A39" t="inlineStr"/>
    </row>
    <row r="40">
      <c r="A40" t="inlineStr">
        <is>
          <t>RP2 PIO-side note: the PIO program in drivers/local_neopixel.py uses 10 PIO cycles per</t>
        </is>
      </c>
    </row>
    <row r="41">
      <c r="A41" t="inlineStr">
        <is>
          <t>WS2812 bit (T1=2, T2=5, T3=3). To run at 1.6 Mbps the PIO clock would need to be raised</t>
        </is>
      </c>
    </row>
    <row r="42">
      <c r="A42" t="inlineStr">
        <is>
          <t>from 8 MHz to 16 MHz; for 3.2 Mbps it'd be 32 MHz. RP2350 system clock is 150 MHz default,</t>
        </is>
      </c>
    </row>
    <row r="43">
      <c r="A43" t="inlineStr">
        <is>
          <t>so the PIO clock has plenty of headroom — the limit is the LED chain, not the controller.</t>
        </is>
      </c>
    </row>
  </sheetData>
  <mergeCells count="16">
    <mergeCell ref="A30:H30"/>
    <mergeCell ref="A39:H39"/>
    <mergeCell ref="A35:H35"/>
    <mergeCell ref="A43:H43"/>
    <mergeCell ref="A38:H38"/>
    <mergeCell ref="A2:H2"/>
    <mergeCell ref="A40:H40"/>
    <mergeCell ref="A42:H42"/>
    <mergeCell ref="A41:H41"/>
    <mergeCell ref="A33:H33"/>
    <mergeCell ref="A36:H36"/>
    <mergeCell ref="A1:H1"/>
    <mergeCell ref="A37:H37"/>
    <mergeCell ref="A32:H32"/>
    <mergeCell ref="A31:H31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2026-05-10T01:08:57Z</dcterms:created>
  <dcterms:modified xsi:type="dcterms:W3CDTF">2026-05-10T01:08:57Z</dcterms:modified>
</cp:coreProperties>
</file>