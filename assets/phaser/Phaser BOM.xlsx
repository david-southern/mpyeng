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cuments\Projects\SpaceSimulator\"/>
    </mc:Choice>
  </mc:AlternateContent>
  <xr:revisionPtr revIDLastSave="0" documentId="13_ncr:1_{2FD2F02C-E80E-4950-8BA1-B7A2569B6775}" xr6:coauthVersionLast="47" xr6:coauthVersionMax="47" xr10:uidLastSave="{00000000-0000-0000-0000-000000000000}"/>
  <bookViews>
    <workbookView xWindow="825" yWindow="165" windowWidth="21600" windowHeight="13365" xr2:uid="{560FE30A-F838-44FB-BC31-0E813F3B78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" l="1"/>
  <c r="C14" i="1"/>
  <c r="C16" i="1"/>
  <c r="C15" i="1"/>
</calcChain>
</file>

<file path=xl/sharedStrings.xml><?xml version="1.0" encoding="utf-8"?>
<sst xmlns="http://schemas.openxmlformats.org/spreadsheetml/2006/main" count="38" uniqueCount="37">
  <si>
    <t>Adafruit Feather M4 Express</t>
  </si>
  <si>
    <t>https://www.adafruit.com/product/3857</t>
  </si>
  <si>
    <t>Controller</t>
  </si>
  <si>
    <t>Price</t>
  </si>
  <si>
    <t>Desc</t>
  </si>
  <si>
    <t>Item</t>
  </si>
  <si>
    <t>Notes</t>
  </si>
  <si>
    <t>Product Page</t>
  </si>
  <si>
    <t>Tutorial Page</t>
  </si>
  <si>
    <t>Adafruit PropMaker FeatherWing</t>
  </si>
  <si>
    <t>https://www.adafruit.com/product/3988</t>
  </si>
  <si>
    <t>https://learn.adafruit.com/adafruit-prop-maker-featherwing/overview</t>
  </si>
  <si>
    <t>Driver</t>
  </si>
  <si>
    <t>https://www.adafruit.com/product/3898</t>
  </si>
  <si>
    <t>Dimensions</t>
  </si>
  <si>
    <t>50.8 x 22.8 x 7.2</t>
  </si>
  <si>
    <t>35.5 x 16.6 x 7.6</t>
  </si>
  <si>
    <t>https://learn.adafruit.com/adafruit-feather-m4-express-atsamd51</t>
  </si>
  <si>
    <t>Lithium Ion Polymer Battery
- 3.7V 400mAh</t>
  </si>
  <si>
    <t>Sound</t>
  </si>
  <si>
    <t>30 x 20 x 5</t>
  </si>
  <si>
    <t>https://www.adafruit.com/product/3923</t>
  </si>
  <si>
    <t>Mini Oval Speaker - 8 Ohm 1 Watt</t>
  </si>
  <si>
    <t>The prototype will use a battery with these dimensions:  32.5 x 25.0 x 5.0</t>
  </si>
  <si>
    <t>Battery</t>
  </si>
  <si>
    <t>Lighting</t>
  </si>
  <si>
    <t>https://www.adafruit.com/product/1507</t>
  </si>
  <si>
    <t>Adafruit NeoPixel Digital RGB LED Strip 144 LED - 1m White - WHITE</t>
  </si>
  <si>
    <t>7 cm - Power Pack Charge Status</t>
  </si>
  <si>
    <t>10 cm - Phaser Activation</t>
  </si>
  <si>
    <t>Price is $0.60 per centimeter of lighting effect</t>
  </si>
  <si>
    <t>12 x 3 (cross section)</t>
  </si>
  <si>
    <t>Total Cost</t>
  </si>
  <si>
    <t>https://learn.adafruit.com/adafruit-neopixel-uberguide</t>
  </si>
  <si>
    <t>Power Suply</t>
  </si>
  <si>
    <t>https://www.adafruit.com/product/276</t>
  </si>
  <si>
    <t>5V 2A (2000mA) switching power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</si>
</sst>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4" fontId="0" fillId="0" borderId="0" xfId="1" applyFont="1" applyAlignment="1">
      <alignment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dafruit.com/product/3857" TargetMode="External"/><Relationship Id="rId1" Type="http://schemas.openxmlformats.org/officeDocument/2006/relationships/hyperlink" Target="https://www.adafruit.com/product/39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4E05-F2A6-410A-AC1D-DC460408CB39}">
  <dimension ref="A1:H18"/>
  <sheetViews>
    <sheetView tabSelected="1" workbookViewId="0">
      <selection activeCell="E20" sqref="E20"/>
    </sheetView>
  </sheetViews>
  <sheetFormatPr defaultColWidth="9.28515625" defaultRowHeight="15" x14ac:dyDescent="0.25"/>
  <cols>
    <col min="1" max="1" width="11" style="2" bestFit="1" customWidth="1"/>
    <col min="2" max="2" width="12.28515625" style="2" customWidth="1"/>
    <col min="3" max="3" width="12.28515625" style="3" customWidth="1"/>
    <col min="4" max="4" width="32.140625" style="2" customWidth="1"/>
    <col min="5" max="6" width="18.5703125" style="2" customWidth="1"/>
    <col min="7" max="7" width="42.85546875" style="1" customWidth="1"/>
    <col min="8" max="8" width="12.5703125" style="1" bestFit="1" customWidth="1"/>
    <col min="9" max="16384" width="9.28515625" style="2"/>
  </cols>
  <sheetData>
    <row r="1" spans="1:8" x14ac:dyDescent="0.25">
      <c r="A1" s="2" t="s">
        <v>32</v>
      </c>
      <c r="C1" s="3">
        <f>SUM(C4:C99)</f>
        <v>70.150000000000006</v>
      </c>
    </row>
    <row r="3" spans="1:8" x14ac:dyDescent="0.25">
      <c r="B3" s="2" t="s">
        <v>5</v>
      </c>
      <c r="C3" s="3" t="s">
        <v>3</v>
      </c>
      <c r="D3" s="2" t="s">
        <v>4</v>
      </c>
      <c r="E3" s="2" t="s">
        <v>6</v>
      </c>
      <c r="F3" s="2" t="s">
        <v>14</v>
      </c>
      <c r="G3" s="1" t="s">
        <v>7</v>
      </c>
      <c r="H3" s="1" t="s">
        <v>8</v>
      </c>
    </row>
    <row r="4" spans="1:8" x14ac:dyDescent="0.25">
      <c r="B4" s="2" t="s">
        <v>2</v>
      </c>
      <c r="C4" s="3">
        <v>22.95</v>
      </c>
      <c r="D4" s="2" t="s">
        <v>0</v>
      </c>
      <c r="F4" s="2" t="s">
        <v>15</v>
      </c>
      <c r="G4" s="1" t="s">
        <v>1</v>
      </c>
      <c r="H4" s="1" t="s">
        <v>17</v>
      </c>
    </row>
    <row r="5" spans="1:8" x14ac:dyDescent="0.25">
      <c r="B5" s="2" t="s">
        <v>12</v>
      </c>
      <c r="C5" s="3">
        <v>9.9499999999999993</v>
      </c>
      <c r="D5" s="2" t="s">
        <v>9</v>
      </c>
      <c r="F5" s="2" t="s">
        <v>15</v>
      </c>
      <c r="G5" s="1" t="s">
        <v>10</v>
      </c>
      <c r="H5" s="1" t="s">
        <v>11</v>
      </c>
    </row>
    <row r="8" spans="1:8" ht="60" x14ac:dyDescent="0.25">
      <c r="B8" s="2" t="s">
        <v>24</v>
      </c>
      <c r="C8" s="3">
        <v>6.95</v>
      </c>
      <c r="D8" s="2" t="s">
        <v>18</v>
      </c>
      <c r="E8" s="2" t="s">
        <v>23</v>
      </c>
      <c r="F8" s="2" t="s">
        <v>16</v>
      </c>
      <c r="G8" s="1" t="s">
        <v>13</v>
      </c>
    </row>
    <row r="11" spans="1:8" x14ac:dyDescent="0.25">
      <c r="B11" s="2" t="s">
        <v>19</v>
      </c>
      <c r="C11" s="3">
        <v>1.95</v>
      </c>
      <c r="D11" s="2" t="s">
        <v>22</v>
      </c>
      <c r="F11" s="2" t="s">
        <v>20</v>
      </c>
      <c r="G11" s="1" t="s">
        <v>21</v>
      </c>
    </row>
    <row r="14" spans="1:8" ht="45" x14ac:dyDescent="0.25">
      <c r="B14" s="2" t="s">
        <v>25</v>
      </c>
      <c r="C14" s="3">
        <f>SUM(C15:C16)</f>
        <v>10.199999999999999</v>
      </c>
      <c r="D14" s="2" t="s">
        <v>27</v>
      </c>
      <c r="E14" s="2" t="s">
        <v>30</v>
      </c>
      <c r="F14" s="2" t="s">
        <v>31</v>
      </c>
      <c r="G14" s="1" t="s">
        <v>26</v>
      </c>
      <c r="H14" s="1" t="s">
        <v>33</v>
      </c>
    </row>
    <row r="15" spans="1:8" x14ac:dyDescent="0.25">
      <c r="C15" s="3">
        <f>0.6*7</f>
        <v>4.2</v>
      </c>
      <c r="D15" s="2" t="s">
        <v>28</v>
      </c>
    </row>
    <row r="16" spans="1:8" x14ac:dyDescent="0.25">
      <c r="C16" s="3">
        <f>0.6*10</f>
        <v>6</v>
      </c>
      <c r="D16" s="2" t="s">
        <v>29</v>
      </c>
    </row>
    <row r="18" spans="2:7" ht="30" x14ac:dyDescent="0.25">
      <c r="B18" s="2" t="s">
        <v>34</v>
      </c>
      <c r="C18" s="3">
        <v>7.95</v>
      </c>
      <c r="D18" s="2" t="s">
        <v>36</v>
      </c>
      <c r="G18" s="1" t="s">
        <v>35</v>
      </c>
    </row>
  </sheetData>
  <hyperlinks>
    <hyperlink ref="G5" r:id="rId1" xr:uid="{C6F0A7DB-DE41-4859-8136-3C5BCFF8C8D9}"/>
    <hyperlink ref="G4" r:id="rId2" xr:uid="{F0D3D5B7-D5B6-4ED6-8EFB-6EA566570C2C}"/>
  </hyperlinks>
  <pageMargins left="0.7" right="0.7" top="0.75" bottom="0.75" header="0.3" footer="0.3"/>
  <pageSetup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Southern</dc:creator>
  <cp:lastModifiedBy>David Southern</cp:lastModifiedBy>
  <dcterms:created xsi:type="dcterms:W3CDTF">2021-09-04T14:35:59Z</dcterms:created>
  <dcterms:modified xsi:type="dcterms:W3CDTF">2021-09-04T21:10:14Z</dcterms:modified>
</cp:coreProperties>
</file>