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eef89eb398547b7/Hobbies/Current Projects/EngineSim/"/>
    </mc:Choice>
  </mc:AlternateContent>
  <xr:revisionPtr revIDLastSave="68" documentId="8_{973EFF08-A8EF-439D-80B6-E2940869B24A}" xr6:coauthVersionLast="47" xr6:coauthVersionMax="47" xr10:uidLastSave="{8E3AD391-552B-4555-8B8E-8921ECD42EA0}"/>
  <bookViews>
    <workbookView xWindow="3510" yWindow="3510" windowWidth="21600" windowHeight="11235" xr2:uid="{3F83BF47-4AB6-43B7-B5CF-F8BE03A009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8" i="1" l="1"/>
  <c r="F27" i="1"/>
  <c r="F26" i="1"/>
  <c r="F25" i="1"/>
  <c r="F24" i="1"/>
  <c r="F23" i="1"/>
  <c r="F16" i="1"/>
  <c r="F15" i="1"/>
  <c r="F14" i="1"/>
  <c r="F13" i="1"/>
  <c r="F12" i="1"/>
  <c r="F11" i="1"/>
  <c r="F10" i="1"/>
  <c r="F8" i="1"/>
  <c r="F7" i="1"/>
  <c r="D24" i="1"/>
  <c r="G24" i="1"/>
  <c r="F6" i="1"/>
  <c r="F2" i="1" l="1"/>
</calcChain>
</file>

<file path=xl/sharedStrings.xml><?xml version="1.0" encoding="utf-8"?>
<sst xmlns="http://schemas.openxmlformats.org/spreadsheetml/2006/main" count="54" uniqueCount="45">
  <si>
    <t>Engineering Sim BOM</t>
  </si>
  <si>
    <t>Left Panel</t>
  </si>
  <si>
    <t>7-sec backpack</t>
  </si>
  <si>
    <t>1/4" audio jack</t>
  </si>
  <si>
    <t>Right Panel</t>
  </si>
  <si>
    <t>Qty</t>
  </si>
  <si>
    <t>Pixel Grid - 3"x3"</t>
  </si>
  <si>
    <t>Pixel Grid - 5"x5"</t>
  </si>
  <si>
    <t>1/4" audio cable @ 30"</t>
  </si>
  <si>
    <t>https://www.amazon.com/GLS-Audio-Jacks-Female-Panel/dp/B003HLW14W/ref=sr_1_4?crid=2ZBQ5LVFP64HT&amp;keywords=1%2F4%22+audio+jack&amp;qid=1640853488&amp;sprefix=1%2F4+audio+jack%2Caps%2C124&amp;sr=8-4</t>
  </si>
  <si>
    <t>Cost Per</t>
  </si>
  <si>
    <t>20/pack</t>
  </si>
  <si>
    <t>Notes</t>
  </si>
  <si>
    <t>URL</t>
  </si>
  <si>
    <t>Cost</t>
  </si>
  <si>
    <t>https://www.amazon.com/dp/B01CDTEJR0/ref=syn_sd_onsite_desktop_231?pd_rd_plhdr=t&amp;spLa=ZW5jcnlwdGVkUXVhbGlmaWVyPUEyTVo2MEdCWFVVMktJJmVuY3J5cHRlZElkPUEwMzMwODU1UEVRTjROUUdVVktNJmVuY3J5cHRlZEFkSWQ9QTAzMzQ5NzcyU0pFUko1VTNLMU5FJndpZGdldE5hbWU9c2Rfb25zaXRlX2Rlc2t0b3AmYWN0aW9uPWNsaWNrUmVkaXJlY3QmZG9Ob3RMb2dDbGljaz10cnVl&amp;th=1</t>
  </si>
  <si>
    <t>11 pix/card @ 144 pix/meter</t>
  </si>
  <si>
    <t>https://www.amazon.com/dp/B088BTYJH6/ref=sspa_dk_detail_1?psc=1&amp;pd_rd_i=B088BTYJH6&amp;pd_rd_w=hckaL&amp;pf_rd_p=887084a2-5c34-4113-a4f8-b7947847c308&amp;pd_rd_wg=6JHx0&amp;pf_rd_r=5RQYE2ZKFF8EQRPMJKEY&amp;pd_rd_r=719b7b10-40e7-47b6-9a49-67c8727010f8&amp;spLa=ZW5jcnlwdGVkUXVhbGlmaWVyPUEyVExKOEpTRjNJNjUwJmVuY3J5cHRlZElkPUEwMTUyMDQ3MkNKWVZTUFRHRjVONiZlbmNyeXB0ZWRBZElkPUEwMDExMjA2MkY2MzMwQUZKMFRJViZ3aWRnZXROYW1lPXNwX2RldGFpbCZhY3Rpb249Y2xpY2tSZWRpcmVjdCZkb05vdExvZ0NsaWNrPXRydWU=</t>
  </si>
  <si>
    <t>https://www.amazon.com/dp/B088BTSPYD/ref=sspa_dk_detail_1?pd_rd_i=B088BTYJH6&amp;pd_rd_w=hckaL&amp;pf_rd_p=887084a2-5c34-4113-a4f8-b7947847c308&amp;pd_rd_wg=6JHx0&amp;pf_rd_r=5RQYE2ZKFF8EQRPMJKEY&amp;pd_rd_r=719b7b10-40e7-47b6-9a49-67c8727010f8&amp;spLa=ZW5jcnlwdGVkUXVhbGlmaWVyPUEyVExKOEpTRjNJNjUwJmVuY3J5cHRlZElkPUEwMTUyMDQ3MkNKWVZTUFRHRjVONiZlbmNyeXB0ZWRBZElkPUEwMDExMjA2MkY2MzMwQUZKMFRJViZ3aWRnZXROYW1lPXNwX2RldGFpbCZhY3Rpb249Y2xpY2tSZWRpcmVjdCZkb05vdExvZ0NsaWNrPXRydWU&amp;th=1</t>
  </si>
  <si>
    <t>https://www.amazon.com/diymore-Display-Digital-Decimal-Segment/dp/B078J577PL/ref=sr_1_7?crid=2NVLK87EFUDMX&amp;keywords=i2c%2B7%2Bsegment&amp;qid=1640856633&amp;sprefix=i2c%2B7%2Bsegment%2Caps%2C111&amp;sr=8-7&amp;th=1</t>
  </si>
  <si>
    <t>5/pack</t>
  </si>
  <si>
    <t>https://www.amazon.com/diymore-Display-Digital-Decimal-Segment/dp/B078HXLGRC/ref=sr_1_7?crid=2NVLK87EFUDMX&amp;keywords=i2c%2B7%2Bsegment&amp;qid=1640856633&amp;sprefix=i2c%2B7%2Bsegment%2Caps%2C111&amp;sr=8-7&amp;th=1</t>
  </si>
  <si>
    <t>https://www.amazon.com/diymore-Display-Digital-Decimal-Segment/dp/B078HXJ9Y4/ref=sr_1_7?crid=2NVLK87EFUDMX&amp;keywords=i2c%2B7%2Bsegment&amp;qid=1640856633&amp;sprefix=i2c%2B7%2Bsegment%2Caps%2C111&amp;sr=8-7&amp;th=1</t>
  </si>
  <si>
    <t>https://www.amazon.com/diymore-Display-Digital-Decimal-Segment/dp/B078J6452J/ref=sr_1_7?crid=2NVLK87EFUDMX&amp;keywords=i2c%2B7%2Bsegment&amp;qid=1640856633&amp;sprefix=i2c%2B7%2Bsegment%2Caps%2C111&amp;sr=8-7&amp;th=1</t>
  </si>
  <si>
    <t>5/pack (white)</t>
  </si>
  <si>
    <t>7-seg backpack</t>
  </si>
  <si>
    <t>https://www.amazon.com/Instrument-JSAUX-Straight-Straight-Mandolin-Red/dp/B081GVRQ6J/ref=sr_1_6?crid=3ISR3GYF9TGAF&amp;keywords=1%2F4%22+audio+cable&amp;qid=1640857623&amp;sprefix=1%2F4+audio+cable%2Caps%2C123&amp;sr=8-6</t>
  </si>
  <si>
    <t>cool look - red-braid</t>
  </si>
  <si>
    <t>https://www.amazon.com/ZkeeShop-Reader-Compatibe-Arduino-Raspberry/dp/B08BZPLWV2/ref=sr_1_5?keywords=rc522&amp;qid=1640961552&amp;sr=8-5</t>
  </si>
  <si>
    <t>RFID Card Identification</t>
  </si>
  <si>
    <t>https://www.amazon.com/EG-STARTS-Illuminated-Compatible-Raspberry/dp/B072C5NRY9/ref=sr_1_10?crid=2QR384S1EC875&amp;keywords=5v+red+arcade+button+led&amp;qid=1640962210&amp;sprefix=5v+red+arcade+button+led%2Caps%2C135&amp;sr=8-10</t>
  </si>
  <si>
    <t>Slide Pot</t>
  </si>
  <si>
    <t>https://www.amazon.com/Fielect-Potentiometer-Variable-Resistors-Potentiometers/dp/B08C73WX84/ref=sr_1_7?keywords=slide%2Bpotentiometer&amp;qid=1640962514&amp;sprefix=slide%2Bpoten%2Caps%2C140&amp;sr=8-7&amp;th=1</t>
  </si>
  <si>
    <t>RFID Manager (Mega)</t>
  </si>
  <si>
    <t>https://www.amazon.com/ELEGOO-ATmega2560-ATMEGA16U2-Projects-Compliant/dp/B01H4ZLZLQ/ref=sr_1_1_sspa?crid=NA1D4YISS7JZ&amp;keywords=arduino%2Bmega&amp;qid=1640963414&amp;s=electronics&amp;sprefix=arduino%2Bmega%2Celectronics%2C121&amp;sr=1-1-spons&amp;spLa=ZW5jcnlwdGVkUXVhbGlmaWVyPUEyMUQ4RzY4RU1VRVlPJmVuY3J5cHRlZElkPUEwMTAxOTQzMU5XRUJHSjlDSFRHVCZlbmNyeXB0ZWRBZElkPUEwNDA1MjE3Mk5WUUhXTUtGMDVJOCZ3aWRnZXROYW1lPXNwX2F0ZiZhY3Rpb249Y2xpY2tSZWRpcmVjdCZkb05vdExvZ0NsaWNrPXRydWU&amp;th=1</t>
  </si>
  <si>
    <t>I2c Extender</t>
  </si>
  <si>
    <t>https://www.amazon.com/LTC4311-I2C-Extender-Active-Terminator/dp/B09K6VZPLX/ref=sr_1_3?crid=2VPFNVAEOCK7Y&amp;keywords=ltc4311+i2c+extender&amp;qid=1640963767&amp;sprefix=LTC4311+%2Caps%2C108&amp;sr=8-3</t>
  </si>
  <si>
    <t>1/4" audio jack x 20</t>
  </si>
  <si>
    <t>1/4" audio cable</t>
  </si>
  <si>
    <t>Power Reset Buttons x 4</t>
  </si>
  <si>
    <t>Yellow x 4</t>
  </si>
  <si>
    <t>Green x 2</t>
  </si>
  <si>
    <t>Red x 4</t>
  </si>
  <si>
    <t>Blue x 6</t>
  </si>
  <si>
    <t>Card slot underlighting x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</si>
</sst>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left" indent="1"/>
    </xf>
    <xf numFmtId="0" fontId="2" fillId="0" borderId="0" xfId="0" applyFont="1"/>
    <xf numFmtId="44" fontId="0" fillId="0" borderId="0" xfId="1" applyFont="1"/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  <xf numFmtId="0" fontId="0" fillId="0" borderId="0" xfId="0" applyAlignment="1">
      <alignment horizontal="left"/>
    </xf>
    <xf numFmtId="0" fontId="3" fillId="0" borderId="0" xfId="2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azon.com/ZkeeShop-Reader-Compatibe-Arduino-Raspberry/dp/B08BZPLWV2/ref=sr_1_5?keywords=rc522&amp;qid=1640961552&amp;sr=8-5" TargetMode="External"/><Relationship Id="rId2" Type="http://schemas.openxmlformats.org/officeDocument/2006/relationships/hyperlink" Target="https://www.amazon.com/diymore-Display-Digital-Decimal-Segment/dp/B078HXJ9Y4/ref=sr_1_7?crid=2NVLK87EFUDMX&amp;keywords=i2c%2B7%2Bsegment&amp;qid=1640856633&amp;sprefix=i2c%2B7%2Bsegment%2Caps%2C111&amp;sr=8-7&amp;th=1" TargetMode="External"/><Relationship Id="rId1" Type="http://schemas.openxmlformats.org/officeDocument/2006/relationships/hyperlink" Target="https://www.amazon.com/dp/B088BTYJH6/ref=sspa_dk_detail_1?psc=1&amp;pd_rd_i=B088BTYJH6&amp;pd_rd_w=hckaL&amp;pf_rd_p=887084a2-5c34-4113-a4f8-b7947847c308&amp;pd_rd_wg=6JHx0&amp;pf_rd_r=5RQYE2ZKFF8EQRPMJKEY&amp;pd_rd_r=719b7b10-40e7-47b6-9a49-67c8727010f8&amp;spLa=ZW5jcnlwdGVkUXVhbGlmaWVyPUEyVExKOEpTRjNJNjUwJmVuY3J5cHRlZElkPUEwMTUyMDQ3MkNKWVZTUFRHRjVONiZlbmNyeXB0ZWRBZElkPUEwMDExMjA2MkY2MzMwQUZKMFRJViZ3aWRnZXROYW1lPXNwX2RldGFpbCZhY3Rpb249Y2xpY2tSZWRpcmVjdCZkb05vdExvZ0NsaWNrPXRydWU=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A98C0-34CD-4167-BCEF-30C4AEECAC00}">
  <dimension ref="B2:K28"/>
  <sheetViews>
    <sheetView tabSelected="1" topLeftCell="A16" workbookViewId="0">
      <selection activeCell="K27" sqref="K27"/>
    </sheetView>
  </sheetViews>
  <sheetFormatPr defaultRowHeight="15" x14ac:dyDescent="0.25"/>
  <cols>
    <col min="3" max="3" width="14.85546875" customWidth="1"/>
    <col min="5" max="5" width="2.7109375" customWidth="1"/>
    <col min="6" max="6" width="10.140625" style="3" bestFit="1" customWidth="1"/>
    <col min="7" max="7" width="9.28515625" style="3"/>
    <col min="10" max="10" width="6.42578125" customWidth="1"/>
  </cols>
  <sheetData>
    <row r="2" spans="2:11" x14ac:dyDescent="0.25">
      <c r="B2" t="s">
        <v>0</v>
      </c>
      <c r="F2" s="3">
        <f>SUM(F6:F40)</f>
        <v>498.54</v>
      </c>
    </row>
    <row r="5" spans="2:11" x14ac:dyDescent="0.25">
      <c r="B5" s="2" t="s">
        <v>1</v>
      </c>
      <c r="D5" s="4" t="s">
        <v>5</v>
      </c>
      <c r="E5" s="4"/>
      <c r="F5" s="5" t="s">
        <v>14</v>
      </c>
      <c r="G5" s="5" t="s">
        <v>10</v>
      </c>
      <c r="H5" s="4" t="s">
        <v>12</v>
      </c>
      <c r="K5" s="4" t="s">
        <v>13</v>
      </c>
    </row>
    <row r="6" spans="2:11" x14ac:dyDescent="0.25">
      <c r="B6" t="s">
        <v>7</v>
      </c>
      <c r="D6">
        <v>2</v>
      </c>
      <c r="F6" s="3">
        <f>D6*G6</f>
        <v>41.98</v>
      </c>
      <c r="G6" s="3">
        <v>20.99</v>
      </c>
      <c r="K6" s="7" t="s">
        <v>17</v>
      </c>
    </row>
    <row r="7" spans="2:11" x14ac:dyDescent="0.25">
      <c r="B7" t="s">
        <v>6</v>
      </c>
      <c r="D7">
        <v>4</v>
      </c>
      <c r="F7" s="3">
        <f t="shared" ref="F7:F8" si="0">D7*G7</f>
        <v>47.96</v>
      </c>
      <c r="G7" s="3">
        <v>11.99</v>
      </c>
      <c r="K7" t="s">
        <v>18</v>
      </c>
    </row>
    <row r="8" spans="2:11" x14ac:dyDescent="0.25">
      <c r="B8" t="s">
        <v>31</v>
      </c>
      <c r="D8">
        <v>1</v>
      </c>
      <c r="F8" s="3">
        <f t="shared" si="0"/>
        <v>10.34</v>
      </c>
      <c r="G8" s="3">
        <v>10.34</v>
      </c>
      <c r="H8" t="s">
        <v>20</v>
      </c>
      <c r="K8" t="s">
        <v>32</v>
      </c>
    </row>
    <row r="9" spans="2:11" x14ac:dyDescent="0.25">
      <c r="B9" t="s">
        <v>25</v>
      </c>
    </row>
    <row r="10" spans="2:11" x14ac:dyDescent="0.25">
      <c r="B10" s="1" t="s">
        <v>41</v>
      </c>
      <c r="D10">
        <v>1</v>
      </c>
      <c r="F10" s="3">
        <f t="shared" ref="F10:F16" si="1">D10*G10</f>
        <v>14.99</v>
      </c>
      <c r="G10" s="3">
        <v>14.99</v>
      </c>
      <c r="H10" t="s">
        <v>20</v>
      </c>
      <c r="K10" s="7" t="s">
        <v>22</v>
      </c>
    </row>
    <row r="11" spans="2:11" x14ac:dyDescent="0.25">
      <c r="B11" s="1" t="s">
        <v>42</v>
      </c>
      <c r="D11">
        <v>1</v>
      </c>
      <c r="F11" s="3">
        <f t="shared" si="1"/>
        <v>14.99</v>
      </c>
      <c r="G11" s="3">
        <v>14.99</v>
      </c>
      <c r="H11" t="s">
        <v>24</v>
      </c>
      <c r="K11" t="s">
        <v>23</v>
      </c>
    </row>
    <row r="12" spans="2:11" x14ac:dyDescent="0.25">
      <c r="B12" s="1" t="s">
        <v>40</v>
      </c>
      <c r="D12">
        <v>1</v>
      </c>
      <c r="F12" s="3">
        <f t="shared" si="1"/>
        <v>13.99</v>
      </c>
      <c r="G12" s="3">
        <v>13.99</v>
      </c>
      <c r="H12" t="s">
        <v>20</v>
      </c>
      <c r="K12" s="6" t="s">
        <v>19</v>
      </c>
    </row>
    <row r="13" spans="2:11" x14ac:dyDescent="0.25">
      <c r="B13" t="s">
        <v>37</v>
      </c>
      <c r="D13">
        <v>1</v>
      </c>
      <c r="F13" s="3">
        <f t="shared" si="1"/>
        <v>16.95</v>
      </c>
      <c r="G13" s="3">
        <v>16.95</v>
      </c>
      <c r="H13" t="s">
        <v>11</v>
      </c>
      <c r="K13" t="s">
        <v>9</v>
      </c>
    </row>
    <row r="14" spans="2:11" x14ac:dyDescent="0.25">
      <c r="B14" t="s">
        <v>38</v>
      </c>
      <c r="D14">
        <v>4</v>
      </c>
      <c r="F14" s="3">
        <f t="shared" si="1"/>
        <v>39.96</v>
      </c>
      <c r="G14" s="3">
        <v>9.99</v>
      </c>
      <c r="H14" t="s">
        <v>27</v>
      </c>
      <c r="K14" s="6" t="s">
        <v>26</v>
      </c>
    </row>
    <row r="15" spans="2:11" x14ac:dyDescent="0.25">
      <c r="B15" s="6" t="s">
        <v>39</v>
      </c>
      <c r="D15">
        <v>1</v>
      </c>
      <c r="F15" s="3">
        <f t="shared" si="1"/>
        <v>11.88</v>
      </c>
      <c r="G15" s="3">
        <v>11.88</v>
      </c>
      <c r="H15" t="s">
        <v>20</v>
      </c>
      <c r="K15" s="6" t="s">
        <v>30</v>
      </c>
    </row>
    <row r="16" spans="2:11" x14ac:dyDescent="0.25">
      <c r="B16" t="s">
        <v>35</v>
      </c>
      <c r="D16">
        <v>1</v>
      </c>
      <c r="F16" s="3">
        <f t="shared" si="1"/>
        <v>12.99</v>
      </c>
      <c r="G16" s="3">
        <v>12.99</v>
      </c>
      <c r="K16" t="s">
        <v>36</v>
      </c>
    </row>
    <row r="21" spans="2:11" x14ac:dyDescent="0.25">
      <c r="B21" t="s">
        <v>4</v>
      </c>
    </row>
    <row r="22" spans="2:11" x14ac:dyDescent="0.25">
      <c r="B22" t="s">
        <v>2</v>
      </c>
    </row>
    <row r="23" spans="2:11" x14ac:dyDescent="0.25">
      <c r="B23" s="1" t="s">
        <v>43</v>
      </c>
      <c r="D23">
        <v>2</v>
      </c>
      <c r="F23" s="3">
        <f t="shared" ref="F23:F28" si="2">D23*G23</f>
        <v>29.98</v>
      </c>
      <c r="G23" s="3">
        <v>14.99</v>
      </c>
      <c r="H23" t="s">
        <v>20</v>
      </c>
      <c r="K23" t="s">
        <v>21</v>
      </c>
    </row>
    <row r="24" spans="2:11" x14ac:dyDescent="0.25">
      <c r="B24" t="s">
        <v>44</v>
      </c>
      <c r="D24">
        <f>CEILING((30*11)/144, 1)</f>
        <v>3</v>
      </c>
      <c r="F24" s="3">
        <f t="shared" si="2"/>
        <v>65.97</v>
      </c>
      <c r="G24" s="3">
        <f>21.99</f>
        <v>21.99</v>
      </c>
      <c r="H24" t="s">
        <v>16</v>
      </c>
      <c r="K24" t="s">
        <v>15</v>
      </c>
    </row>
    <row r="25" spans="2:11" x14ac:dyDescent="0.25">
      <c r="B25" t="s">
        <v>3</v>
      </c>
      <c r="D25">
        <v>1</v>
      </c>
      <c r="F25" s="3">
        <f t="shared" si="2"/>
        <v>16.95</v>
      </c>
      <c r="G25" s="3">
        <v>16.95</v>
      </c>
      <c r="H25" t="s">
        <v>11</v>
      </c>
      <c r="K25" t="s">
        <v>9</v>
      </c>
    </row>
    <row r="26" spans="2:11" x14ac:dyDescent="0.25">
      <c r="B26" t="s">
        <v>8</v>
      </c>
      <c r="D26">
        <v>6</v>
      </c>
      <c r="F26" s="3">
        <f t="shared" si="2"/>
        <v>59.94</v>
      </c>
      <c r="G26" s="3">
        <v>9.99</v>
      </c>
      <c r="H26" t="s">
        <v>27</v>
      </c>
      <c r="K26" t="s">
        <v>26</v>
      </c>
    </row>
    <row r="27" spans="2:11" x14ac:dyDescent="0.25">
      <c r="B27" t="s">
        <v>29</v>
      </c>
      <c r="D27">
        <v>7</v>
      </c>
      <c r="F27" s="3">
        <f t="shared" si="2"/>
        <v>83.93</v>
      </c>
      <c r="G27" s="3">
        <v>11.99</v>
      </c>
      <c r="H27" t="s">
        <v>20</v>
      </c>
      <c r="K27" s="7" t="s">
        <v>28</v>
      </c>
    </row>
    <row r="28" spans="2:11" x14ac:dyDescent="0.25">
      <c r="B28" t="s">
        <v>33</v>
      </c>
      <c r="D28">
        <v>1</v>
      </c>
      <c r="F28" s="3">
        <f t="shared" si="2"/>
        <v>15.74</v>
      </c>
      <c r="G28" s="3">
        <v>15.74</v>
      </c>
      <c r="K28" t="s">
        <v>34</v>
      </c>
    </row>
  </sheetData>
  <hyperlinks>
    <hyperlink ref="K6" r:id="rId1" display="https://www.amazon.com/dp/B088BTYJH6/ref=sspa_dk_detail_1?psc=1&amp;pd_rd_i=B088BTYJH6&amp;pd_rd_w=hckaL&amp;pf_rd_p=887084a2-5c34-4113-a4f8-b7947847c308&amp;pd_rd_wg=6JHx0&amp;pf_rd_r=5RQYE2ZKFF8EQRPMJKEY&amp;pd_rd_r=719b7b10-40e7-47b6-9a49-67c8727010f8&amp;spLa=ZW5jcnlwdGVkUXVhbGlmaWVyPUEyVExKOEpTRjNJNjUwJmVuY3J5cHRlZElkPUEwMTUyMDQ3MkNKWVZTUFRHRjVONiZlbmNyeXB0ZWRBZElkPUEwMDExMjA2MkY2MzMwQUZKMFRJViZ3aWRnZXROYW1lPXNwX2RldGFpbCZhY3Rpb249Y2xpY2tSZWRpcmVjdCZkb05vdExvZ0NsaWNrPXRydWU=" xr:uid="{42AA04D9-1AD2-482D-B51D-7EE82C0DA205}"/>
    <hyperlink ref="K10" r:id="rId2" xr:uid="{B1CEF137-AA64-4DDD-9386-3431733BF49E}"/>
    <hyperlink ref="K27" r:id="rId3" xr:uid="{C428E496-2B62-449D-BA6E-28FE01A224F5}"/>
  </hyperlinks>
  <pageMargins left="0.7" right="0.7" top="0.75" bottom="0.75" header="0.3" footer="0.3"/>
  <pageSetup orientation="portrait" horizontalDpi="0" verticalDpi="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Southern</dc:creator>
  <cp:lastModifiedBy>David Southern</cp:lastModifiedBy>
  <dcterms:created xsi:type="dcterms:W3CDTF">2021-12-30T06:47:15Z</dcterms:created>
  <dcterms:modified xsi:type="dcterms:W3CDTF">2022-01-24T02:42:48Z</dcterms:modified>
</cp:coreProperties>
</file>