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source\repos\space-sim\engine-sim\"/>
    </mc:Choice>
  </mc:AlternateContent>
  <xr:revisionPtr revIDLastSave="0" documentId="13_ncr:1_{9154636E-0AC3-4BB6-9296-1802C55E29C6}" xr6:coauthVersionLast="47" xr6:coauthVersionMax="47" xr10:uidLastSave="{00000000-0000-0000-0000-000000000000}"/>
  <bookViews>
    <workbookView xWindow="16930" yWindow="780" windowWidth="18340" windowHeight="14240" xr2:uid="{1E915D77-3F92-49F6-A67F-42D92F39A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Y26" i="1" l="1"/>
  <c r="Y18" i="1"/>
  <c r="Y28" i="1"/>
  <c r="Y20" i="1"/>
  <c r="Y40" i="1"/>
  <c r="Y32" i="1"/>
  <c r="Y45" i="1"/>
  <c r="Y37" i="1"/>
  <c r="Y17" i="1"/>
  <c r="Y27" i="1"/>
  <c r="Y19" i="1"/>
  <c r="Y39" i="1"/>
  <c r="Y23" i="1"/>
  <c r="Y31" i="1"/>
  <c r="AB13" i="1"/>
  <c r="C7" i="1"/>
  <c r="Y82" i="1"/>
  <c r="F82" i="1"/>
  <c r="K82" i="1" s="1"/>
  <c r="Y81" i="1"/>
  <c r="F81" i="1"/>
  <c r="K81" i="1" s="1"/>
  <c r="Y80" i="1"/>
  <c r="Z81" i="1" s="1"/>
  <c r="F80" i="1"/>
  <c r="H80" i="1" s="1"/>
  <c r="Y79" i="1"/>
  <c r="F79" i="1"/>
  <c r="K79" i="1" s="1"/>
  <c r="Y78" i="1"/>
  <c r="Z78" i="1" s="1"/>
  <c r="F78" i="1"/>
  <c r="K78" i="1" s="1"/>
  <c r="Y77" i="1"/>
  <c r="F77" i="1"/>
  <c r="K77" i="1" s="1"/>
  <c r="Y76" i="1"/>
  <c r="F76" i="1"/>
  <c r="H76" i="1" s="1"/>
  <c r="Y75" i="1"/>
  <c r="F75" i="1"/>
  <c r="K75" i="1" s="1"/>
  <c r="Y74" i="1"/>
  <c r="F74" i="1"/>
  <c r="K74" i="1" s="1"/>
  <c r="Y73" i="1"/>
  <c r="F73" i="1"/>
  <c r="K73" i="1" s="1"/>
  <c r="Y72" i="1"/>
  <c r="I72" i="1"/>
  <c r="F72" i="1"/>
  <c r="H72" i="1" s="1"/>
  <c r="Y71" i="1"/>
  <c r="F71" i="1"/>
  <c r="K71" i="1" s="1"/>
  <c r="Y70" i="1"/>
  <c r="Z70" i="1" s="1"/>
  <c r="F70" i="1"/>
  <c r="K70" i="1" s="1"/>
  <c r="Y69" i="1"/>
  <c r="Z69" i="1" s="1"/>
  <c r="F69" i="1"/>
  <c r="K69" i="1" s="1"/>
  <c r="Y68" i="1"/>
  <c r="F68" i="1"/>
  <c r="H68" i="1" s="1"/>
  <c r="Y67" i="1"/>
  <c r="F67" i="1"/>
  <c r="K67" i="1" s="1"/>
  <c r="Y66" i="1"/>
  <c r="Z66" i="1" s="1"/>
  <c r="F66" i="1"/>
  <c r="K66" i="1" s="1"/>
  <c r="Y65" i="1"/>
  <c r="F65" i="1"/>
  <c r="K65" i="1" s="1"/>
  <c r="Y64" i="1"/>
  <c r="Z64" i="1" s="1"/>
  <c r="I64" i="1"/>
  <c r="F64" i="1"/>
  <c r="H64" i="1" s="1"/>
  <c r="Y63" i="1"/>
  <c r="F63" i="1"/>
  <c r="K63" i="1" s="1"/>
  <c r="Y62" i="1"/>
  <c r="F62" i="1"/>
  <c r="K62" i="1" s="1"/>
  <c r="Y61" i="1"/>
  <c r="F61" i="1"/>
  <c r="K61" i="1" s="1"/>
  <c r="Y60" i="1"/>
  <c r="I60" i="1"/>
  <c r="F60" i="1"/>
  <c r="H60" i="1" s="1"/>
  <c r="Y59" i="1"/>
  <c r="F59" i="1"/>
  <c r="K59" i="1" s="1"/>
  <c r="Y58" i="1"/>
  <c r="Z58" i="1" s="1"/>
  <c r="F58" i="1"/>
  <c r="K58" i="1" s="1"/>
  <c r="Y57" i="1"/>
  <c r="Z57" i="1" s="1"/>
  <c r="F57" i="1"/>
  <c r="K57" i="1" s="1"/>
  <c r="Y56" i="1"/>
  <c r="I56" i="1"/>
  <c r="F56" i="1"/>
  <c r="H56" i="1" s="1"/>
  <c r="Y55" i="1"/>
  <c r="F55" i="1"/>
  <c r="K55" i="1" s="1"/>
  <c r="Y54" i="1"/>
  <c r="F54" i="1"/>
  <c r="K54" i="1" s="1"/>
  <c r="Y53" i="1"/>
  <c r="F53" i="1"/>
  <c r="K53" i="1" s="1"/>
  <c r="Y52" i="1"/>
  <c r="I52" i="1"/>
  <c r="F52" i="1"/>
  <c r="H52" i="1" s="1"/>
  <c r="K51" i="1"/>
  <c r="H51" i="1"/>
  <c r="F51" i="1"/>
  <c r="J51" i="1" s="1"/>
  <c r="M10" i="1"/>
  <c r="AB7" i="1"/>
  <c r="AA7" i="1"/>
  <c r="Z7" i="1"/>
  <c r="Z83" i="1"/>
  <c r="Z82" i="1"/>
  <c r="Z80" i="1"/>
  <c r="Z79" i="1"/>
  <c r="Z77" i="1"/>
  <c r="Z76" i="1"/>
  <c r="Z75" i="1"/>
  <c r="Z74" i="1"/>
  <c r="Z73" i="1"/>
  <c r="Z72" i="1"/>
  <c r="Z71" i="1"/>
  <c r="Z68" i="1"/>
  <c r="Z67" i="1"/>
  <c r="Z65" i="1"/>
  <c r="Z63" i="1"/>
  <c r="Z62" i="1"/>
  <c r="Z61" i="1"/>
  <c r="Z60" i="1"/>
  <c r="Z59" i="1"/>
  <c r="Z56" i="1"/>
  <c r="Z55" i="1"/>
  <c r="F83" i="1"/>
  <c r="K83" i="1" s="1"/>
  <c r="F18" i="1"/>
  <c r="F16" i="1"/>
  <c r="F15" i="1"/>
  <c r="K15" i="1" s="1"/>
  <c r="F46" i="1"/>
  <c r="F45" i="1"/>
  <c r="F44" i="1"/>
  <c r="F43" i="1"/>
  <c r="K43" i="1" s="1"/>
  <c r="F42" i="1"/>
  <c r="F41" i="1"/>
  <c r="F40" i="1"/>
  <c r="F39" i="1"/>
  <c r="F38" i="1"/>
  <c r="K38" i="1" s="1"/>
  <c r="F37" i="1"/>
  <c r="F36" i="1"/>
  <c r="K36" i="1" s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7" i="1"/>
  <c r="L10" i="1"/>
  <c r="L9" i="1"/>
  <c r="M9" i="1" s="1"/>
  <c r="L8" i="1"/>
  <c r="M8" i="1" s="1"/>
  <c r="L7" i="1"/>
  <c r="M7" i="1" s="1"/>
  <c r="L6" i="1"/>
  <c r="M6" i="1" s="1"/>
  <c r="R7" i="1"/>
  <c r="S7" i="1" s="1"/>
  <c r="R6" i="1"/>
  <c r="S6" i="1" s="1"/>
  <c r="R5" i="1"/>
  <c r="S5" i="1" s="1"/>
  <c r="R4" i="1"/>
  <c r="S4" i="1" s="1"/>
  <c r="R3" i="1"/>
  <c r="S3" i="1" s="1"/>
  <c r="AB19" i="1" l="1"/>
  <c r="Y25" i="1"/>
  <c r="Y43" i="1"/>
  <c r="AB18" i="1" s="1"/>
  <c r="Y21" i="1"/>
  <c r="Y36" i="1"/>
  <c r="AB32" i="1" s="1"/>
  <c r="Y42" i="1"/>
  <c r="Y22" i="1"/>
  <c r="Y46" i="1"/>
  <c r="AB46" i="1" s="1"/>
  <c r="Y41" i="1"/>
  <c r="Y24" i="1"/>
  <c r="AB30" i="1" s="1"/>
  <c r="Y34" i="1"/>
  <c r="AB36" i="1" s="1"/>
  <c r="Y30" i="1"/>
  <c r="Y35" i="1"/>
  <c r="AB16" i="1" s="1"/>
  <c r="Y33" i="1"/>
  <c r="AB20" i="1" s="1"/>
  <c r="Y29" i="1"/>
  <c r="AB26" i="1" s="1"/>
  <c r="Y44" i="1"/>
  <c r="AB34" i="1" s="1"/>
  <c r="Y38" i="1"/>
  <c r="AB42" i="1" s="1"/>
  <c r="Y16" i="1"/>
  <c r="AB23" i="1"/>
  <c r="AB37" i="1"/>
  <c r="AB21" i="1"/>
  <c r="I68" i="1"/>
  <c r="I80" i="1"/>
  <c r="I76" i="1"/>
  <c r="G63" i="1"/>
  <c r="J64" i="1"/>
  <c r="G67" i="1"/>
  <c r="J68" i="1"/>
  <c r="G71" i="1"/>
  <c r="J72" i="1"/>
  <c r="G75" i="1"/>
  <c r="J76" i="1"/>
  <c r="G79" i="1"/>
  <c r="J80" i="1"/>
  <c r="J52" i="1"/>
  <c r="G55" i="1"/>
  <c r="J56" i="1"/>
  <c r="G59" i="1"/>
  <c r="J60" i="1"/>
  <c r="G51" i="1"/>
  <c r="K52" i="1"/>
  <c r="H55" i="1"/>
  <c r="K56" i="1"/>
  <c r="H59" i="1"/>
  <c r="K60" i="1"/>
  <c r="H63" i="1"/>
  <c r="K64" i="1"/>
  <c r="H67" i="1"/>
  <c r="K68" i="1"/>
  <c r="H71" i="1"/>
  <c r="K72" i="1"/>
  <c r="H75" i="1"/>
  <c r="K76" i="1"/>
  <c r="H79" i="1"/>
  <c r="K80" i="1"/>
  <c r="I55" i="1"/>
  <c r="I71" i="1"/>
  <c r="I51" i="1"/>
  <c r="G54" i="1"/>
  <c r="J55" i="1"/>
  <c r="G58" i="1"/>
  <c r="J59" i="1"/>
  <c r="G62" i="1"/>
  <c r="J63" i="1"/>
  <c r="G66" i="1"/>
  <c r="J67" i="1"/>
  <c r="G70" i="1"/>
  <c r="J71" i="1"/>
  <c r="G74" i="1"/>
  <c r="J75" i="1"/>
  <c r="G78" i="1"/>
  <c r="J79" i="1"/>
  <c r="G82" i="1"/>
  <c r="I59" i="1"/>
  <c r="I63" i="1"/>
  <c r="I67" i="1"/>
  <c r="I75" i="1"/>
  <c r="I79" i="1"/>
  <c r="H54" i="1"/>
  <c r="H58" i="1"/>
  <c r="H62" i="1"/>
  <c r="H66" i="1"/>
  <c r="H70" i="1"/>
  <c r="H74" i="1"/>
  <c r="H78" i="1"/>
  <c r="H82" i="1"/>
  <c r="I54" i="1"/>
  <c r="I62" i="1"/>
  <c r="I82" i="1"/>
  <c r="I74" i="1"/>
  <c r="G53" i="1"/>
  <c r="J54" i="1"/>
  <c r="G57" i="1"/>
  <c r="J58" i="1"/>
  <c r="G61" i="1"/>
  <c r="J62" i="1"/>
  <c r="G65" i="1"/>
  <c r="J66" i="1"/>
  <c r="G69" i="1"/>
  <c r="J70" i="1"/>
  <c r="G73" i="1"/>
  <c r="J74" i="1"/>
  <c r="G77" i="1"/>
  <c r="J78" i="1"/>
  <c r="G81" i="1"/>
  <c r="J82" i="1"/>
  <c r="I58" i="1"/>
  <c r="I66" i="1"/>
  <c r="I70" i="1"/>
  <c r="I78" i="1"/>
  <c r="H53" i="1"/>
  <c r="H57" i="1"/>
  <c r="H61" i="1"/>
  <c r="H65" i="1"/>
  <c r="H69" i="1"/>
  <c r="H73" i="1"/>
  <c r="H77" i="1"/>
  <c r="H81" i="1"/>
  <c r="I81" i="1"/>
  <c r="I57" i="1"/>
  <c r="I69" i="1"/>
  <c r="I73" i="1"/>
  <c r="I77" i="1"/>
  <c r="J57" i="1"/>
  <c r="J61" i="1"/>
  <c r="J65" i="1"/>
  <c r="G68" i="1"/>
  <c r="J73" i="1"/>
  <c r="I53" i="1"/>
  <c r="I61" i="1"/>
  <c r="I65" i="1"/>
  <c r="G52" i="1"/>
  <c r="J53" i="1"/>
  <c r="G56" i="1"/>
  <c r="G60" i="1"/>
  <c r="G64" i="1"/>
  <c r="J69" i="1"/>
  <c r="G72" i="1"/>
  <c r="G76" i="1"/>
  <c r="J77" i="1"/>
  <c r="G80" i="1"/>
  <c r="J81" i="1"/>
  <c r="AB22" i="1"/>
  <c r="AB27" i="1"/>
  <c r="AB17" i="1"/>
  <c r="AB28" i="1"/>
  <c r="AB41" i="1"/>
  <c r="H83" i="1"/>
  <c r="I83" i="1"/>
  <c r="J83" i="1"/>
  <c r="Z54" i="1"/>
  <c r="K44" i="1"/>
  <c r="K41" i="1"/>
  <c r="K37" i="1"/>
  <c r="K24" i="1"/>
  <c r="K26" i="1"/>
  <c r="K31" i="1"/>
  <c r="K20" i="1"/>
  <c r="K25" i="1"/>
  <c r="K32" i="1"/>
  <c r="K33" i="1"/>
  <c r="K34" i="1"/>
  <c r="K16" i="1"/>
  <c r="K21" i="1"/>
  <c r="K42" i="1"/>
  <c r="K22" i="1"/>
  <c r="J44" i="1"/>
  <c r="J15" i="1"/>
  <c r="K45" i="1"/>
  <c r="J23" i="1"/>
  <c r="K23" i="1"/>
  <c r="K35" i="1"/>
  <c r="K46" i="1"/>
  <c r="K17" i="1"/>
  <c r="K27" i="1"/>
  <c r="K39" i="1"/>
  <c r="K18" i="1"/>
  <c r="K28" i="1"/>
  <c r="K40" i="1"/>
  <c r="J19" i="1"/>
  <c r="K29" i="1"/>
  <c r="J41" i="1"/>
  <c r="K19" i="1"/>
  <c r="K30" i="1"/>
  <c r="J32" i="1"/>
  <c r="J36" i="1"/>
  <c r="I18" i="1"/>
  <c r="J24" i="1"/>
  <c r="J28" i="1"/>
  <c r="J33" i="1"/>
  <c r="J42" i="1"/>
  <c r="J38" i="1"/>
  <c r="J37" i="1"/>
  <c r="J16" i="1"/>
  <c r="J25" i="1"/>
  <c r="J21" i="1"/>
  <c r="J29" i="1"/>
  <c r="J30" i="1"/>
  <c r="J18" i="1"/>
  <c r="J22" i="1"/>
  <c r="J31" i="1"/>
  <c r="J35" i="1"/>
  <c r="J40" i="1"/>
  <c r="J46" i="1"/>
  <c r="J20" i="1"/>
  <c r="J26" i="1"/>
  <c r="J34" i="1"/>
  <c r="J17" i="1"/>
  <c r="J27" i="1"/>
  <c r="J45" i="1"/>
  <c r="I33" i="1"/>
  <c r="J43" i="1"/>
  <c r="J39" i="1"/>
  <c r="AB29" i="1" l="1"/>
  <c r="AB43" i="1"/>
  <c r="AB33" i="1"/>
  <c r="AB44" i="1"/>
  <c r="AB25" i="1"/>
  <c r="AB45" i="1"/>
  <c r="AB24" i="1"/>
  <c r="AB35" i="1"/>
  <c r="AB40" i="1"/>
  <c r="AB38" i="1"/>
  <c r="AB39" i="1"/>
  <c r="AB31" i="1"/>
  <c r="L65" i="1"/>
  <c r="M65" i="1" s="1"/>
  <c r="L72" i="1"/>
  <c r="M72" i="1" s="1"/>
  <c r="L52" i="1"/>
  <c r="M52" i="1" s="1"/>
  <c r="L51" i="1"/>
  <c r="M51" i="1" s="1"/>
  <c r="L82" i="1"/>
  <c r="M82" i="1" s="1"/>
  <c r="L63" i="1"/>
  <c r="M63" i="1" s="1"/>
  <c r="L57" i="1"/>
  <c r="M57" i="1" s="1"/>
  <c r="L76" i="1"/>
  <c r="M76" i="1" s="1"/>
  <c r="L80" i="1"/>
  <c r="M80" i="1" s="1"/>
  <c r="L74" i="1"/>
  <c r="M74" i="1" s="1"/>
  <c r="L79" i="1"/>
  <c r="M79" i="1" s="1"/>
  <c r="L61" i="1"/>
  <c r="M61" i="1" s="1"/>
  <c r="L54" i="1"/>
  <c r="M54" i="1" s="1"/>
  <c r="L81" i="1"/>
  <c r="M81" i="1" s="1"/>
  <c r="L77" i="1"/>
  <c r="M77" i="1" s="1"/>
  <c r="L53" i="1"/>
  <c r="M53" i="1" s="1"/>
  <c r="L70" i="1"/>
  <c r="M70" i="1" s="1"/>
  <c r="L75" i="1"/>
  <c r="M75" i="1" s="1"/>
  <c r="L73" i="1"/>
  <c r="M73" i="1" s="1"/>
  <c r="L66" i="1"/>
  <c r="M66" i="1" s="1"/>
  <c r="L71" i="1"/>
  <c r="M71" i="1" s="1"/>
  <c r="L64" i="1"/>
  <c r="M64" i="1" s="1"/>
  <c r="L68" i="1"/>
  <c r="M68" i="1" s="1"/>
  <c r="L60" i="1"/>
  <c r="M60" i="1" s="1"/>
  <c r="L69" i="1"/>
  <c r="M69" i="1" s="1"/>
  <c r="L62" i="1"/>
  <c r="M62" i="1" s="1"/>
  <c r="L67" i="1"/>
  <c r="M67" i="1" s="1"/>
  <c r="L78" i="1"/>
  <c r="M78" i="1" s="1"/>
  <c r="L56" i="1"/>
  <c r="M56" i="1" s="1"/>
  <c r="L59" i="1"/>
  <c r="M59" i="1" s="1"/>
  <c r="L58" i="1"/>
  <c r="M58" i="1" s="1"/>
  <c r="L55" i="1"/>
  <c r="M55" i="1" s="1"/>
  <c r="AB12" i="1"/>
  <c r="AB9" i="1"/>
  <c r="AB11" i="1"/>
  <c r="AB10" i="1"/>
  <c r="G83" i="1"/>
  <c r="L83" i="1" s="1"/>
  <c r="I38" i="1"/>
  <c r="I26" i="1"/>
  <c r="I43" i="1"/>
  <c r="I45" i="1"/>
  <c r="I20" i="1"/>
  <c r="I25" i="1"/>
  <c r="I24" i="1"/>
  <c r="I31" i="1"/>
  <c r="I19" i="1"/>
  <c r="I32" i="1"/>
  <c r="I42" i="1"/>
  <c r="I39" i="1"/>
  <c r="I30" i="1"/>
  <c r="I36" i="1"/>
  <c r="I37" i="1"/>
  <c r="I27" i="1"/>
  <c r="I17" i="1"/>
  <c r="I46" i="1"/>
  <c r="I40" i="1"/>
  <c r="I35" i="1"/>
  <c r="I22" i="1"/>
  <c r="I15" i="1"/>
  <c r="I34" i="1"/>
  <c r="I21" i="1"/>
  <c r="I16" i="1"/>
  <c r="I29" i="1"/>
  <c r="I28" i="1"/>
  <c r="I41" i="1"/>
  <c r="I23" i="1"/>
  <c r="I44" i="1"/>
  <c r="M83" i="1" l="1"/>
  <c r="N83" i="1" s="1"/>
  <c r="H42" i="1"/>
  <c r="H15" i="1"/>
  <c r="H22" i="1"/>
  <c r="H45" i="1"/>
  <c r="H27" i="1"/>
  <c r="H40" i="1"/>
  <c r="H28" i="1"/>
  <c r="H39" i="1"/>
  <c r="H34" i="1"/>
  <c r="H21" i="1"/>
  <c r="H33" i="1"/>
  <c r="H16" i="1"/>
  <c r="H43" i="1"/>
  <c r="H29" i="1"/>
  <c r="H23" i="1"/>
  <c r="H41" i="1"/>
  <c r="H44" i="1"/>
  <c r="H38" i="1"/>
  <c r="H32" i="1"/>
  <c r="H18" i="1"/>
  <c r="H31" i="1"/>
  <c r="H35" i="1"/>
  <c r="H24" i="1"/>
  <c r="H46" i="1"/>
  <c r="H30" i="1"/>
  <c r="H19" i="1"/>
  <c r="H20" i="1"/>
  <c r="H36" i="1"/>
  <c r="H17" i="1"/>
  <c r="H26" i="1"/>
  <c r="H25" i="1"/>
  <c r="H37" i="1"/>
  <c r="G18" i="1" l="1"/>
  <c r="L18" i="1" s="1"/>
  <c r="M18" i="1" s="1"/>
  <c r="G41" i="1"/>
  <c r="L41" i="1" s="1"/>
  <c r="M41" i="1" s="1"/>
  <c r="G16" i="1"/>
  <c r="L16" i="1" s="1"/>
  <c r="M16" i="1" s="1"/>
  <c r="G29" i="1"/>
  <c r="L29" i="1" s="1"/>
  <c r="M29" i="1" s="1"/>
  <c r="G39" i="1"/>
  <c r="L39" i="1" s="1"/>
  <c r="M39" i="1" s="1"/>
  <c r="G27" i="1"/>
  <c r="L27" i="1" s="1"/>
  <c r="M27" i="1" s="1"/>
  <c r="G44" i="1"/>
  <c r="L44" i="1" s="1"/>
  <c r="M44" i="1" s="1"/>
  <c r="G43" i="1"/>
  <c r="L43" i="1" s="1"/>
  <c r="M43" i="1" s="1"/>
  <c r="G21" i="1"/>
  <c r="L21" i="1" s="1"/>
  <c r="M21" i="1" s="1"/>
  <c r="G19" i="1"/>
  <c r="L19" i="1" s="1"/>
  <c r="M19" i="1" s="1"/>
  <c r="G25" i="1"/>
  <c r="L25" i="1" s="1"/>
  <c r="M25" i="1" s="1"/>
  <c r="G20" i="1"/>
  <c r="L20" i="1" s="1"/>
  <c r="M20" i="1" s="1"/>
  <c r="G31" i="1"/>
  <c r="L31" i="1" s="1"/>
  <c r="M31" i="1" s="1"/>
  <c r="G38" i="1"/>
  <c r="L38" i="1" s="1"/>
  <c r="M38" i="1" s="1"/>
  <c r="G23" i="1"/>
  <c r="L23" i="1" s="1"/>
  <c r="M23" i="1" s="1"/>
  <c r="G22" i="1"/>
  <c r="L22" i="1" s="1"/>
  <c r="M22" i="1" s="1"/>
  <c r="G32" i="1"/>
  <c r="L32" i="1" s="1"/>
  <c r="M32" i="1" s="1"/>
  <c r="G40" i="1"/>
  <c r="L40" i="1" s="1"/>
  <c r="M40" i="1" s="1"/>
  <c r="G45" i="1"/>
  <c r="L45" i="1" s="1"/>
  <c r="M45" i="1" s="1"/>
  <c r="G15" i="1"/>
  <c r="L15" i="1" s="1"/>
  <c r="M15" i="1" s="1"/>
  <c r="G26" i="1"/>
  <c r="L26" i="1" s="1"/>
  <c r="M26" i="1" s="1"/>
  <c r="G36" i="1"/>
  <c r="L36" i="1" s="1"/>
  <c r="M36" i="1" s="1"/>
  <c r="G42" i="1"/>
  <c r="L42" i="1" s="1"/>
  <c r="M42" i="1" s="1"/>
  <c r="G35" i="1"/>
  <c r="L35" i="1" s="1"/>
  <c r="M35" i="1" s="1"/>
  <c r="G46" i="1"/>
  <c r="L46" i="1" s="1"/>
  <c r="M46" i="1" s="1"/>
  <c r="G24" i="1"/>
  <c r="L24" i="1" s="1"/>
  <c r="M24" i="1" s="1"/>
  <c r="G37" i="1"/>
  <c r="L37" i="1" s="1"/>
  <c r="M37" i="1" s="1"/>
  <c r="G17" i="1"/>
  <c r="L17" i="1" s="1"/>
  <c r="M17" i="1" s="1"/>
  <c r="G34" i="1"/>
  <c r="L34" i="1" s="1"/>
  <c r="M34" i="1" s="1"/>
  <c r="G30" i="1"/>
  <c r="L30" i="1" s="1"/>
  <c r="M30" i="1" s="1"/>
  <c r="G33" i="1"/>
  <c r="L33" i="1" s="1"/>
  <c r="M33" i="1" s="1"/>
  <c r="G28" i="1"/>
  <c r="L28" i="1" s="1"/>
  <c r="M28" i="1" s="1"/>
</calcChain>
</file>

<file path=xl/sharedStrings.xml><?xml version="1.0" encoding="utf-8"?>
<sst xmlns="http://schemas.openxmlformats.org/spreadsheetml/2006/main" count="178" uniqueCount="62">
  <si>
    <t>Vin</t>
  </si>
  <si>
    <t>R</t>
  </si>
  <si>
    <t>R1</t>
  </si>
  <si>
    <t>R2</t>
  </si>
  <si>
    <t>R3</t>
  </si>
  <si>
    <t>R4</t>
  </si>
  <si>
    <t>R5</t>
  </si>
  <si>
    <t>Rtot</t>
  </si>
  <si>
    <t>Vout</t>
  </si>
  <si>
    <t>Vpar</t>
  </si>
  <si>
    <t>Rpar</t>
  </si>
  <si>
    <t>VG</t>
  </si>
  <si>
    <t>RG</t>
  </si>
  <si>
    <t>Rcalc</t>
  </si>
  <si>
    <t>Raw</t>
  </si>
  <si>
    <t>Card No</t>
  </si>
  <si>
    <t>Vtot</t>
  </si>
  <si>
    <t>Bin</t>
  </si>
  <si>
    <t>00000</t>
  </si>
  <si>
    <t>00001</t>
  </si>
  <si>
    <t>00010</t>
  </si>
  <si>
    <t>00011</t>
  </si>
  <si>
    <t>00100</t>
  </si>
  <si>
    <t>00101</t>
  </si>
  <si>
    <t>00110</t>
  </si>
  <si>
    <t>00111</t>
  </si>
  <si>
    <t>01000</t>
  </si>
  <si>
    <t>01001</t>
  </si>
  <si>
    <t>01010</t>
  </si>
  <si>
    <t>01011</t>
  </si>
  <si>
    <t>01100</t>
  </si>
  <si>
    <t>01101</t>
  </si>
  <si>
    <t>01110</t>
  </si>
  <si>
    <t>01111</t>
  </si>
  <si>
    <t>10000</t>
  </si>
  <si>
    <t>10001</t>
  </si>
  <si>
    <t>10010</t>
  </si>
  <si>
    <t>10011</t>
  </si>
  <si>
    <t>10100</t>
  </si>
  <si>
    <t>10101</t>
  </si>
  <si>
    <t>10110</t>
  </si>
  <si>
    <t>10111</t>
  </si>
  <si>
    <t>11000</t>
  </si>
  <si>
    <t>11001</t>
  </si>
  <si>
    <t>11010</t>
  </si>
  <si>
    <t>11011</t>
  </si>
  <si>
    <t>11100</t>
  </si>
  <si>
    <t>11101</t>
  </si>
  <si>
    <t>11110</t>
  </si>
  <si>
    <t>11111</t>
  </si>
  <si>
    <t>I0</t>
  </si>
  <si>
    <t>dSig</t>
  </si>
  <si>
    <t>sortSig</t>
  </si>
  <si>
    <t>PARALLEL CIRCUIT</t>
  </si>
  <si>
    <t>delta(Raw)</t>
  </si>
  <si>
    <t>minSig</t>
  </si>
  <si>
    <t>maxSig</t>
  </si>
  <si>
    <t>avgSig</t>
  </si>
  <si>
    <t>median</t>
  </si>
  <si>
    <t>drain</t>
  </si>
  <si>
    <t>Reader 7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</si>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</sst>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43" fontId="0" fillId="0" borderId="0" xfId="1" applyFont="1"/>
    <xf numFmtId="164" fontId="0" fillId="0" borderId="0" xfId="1" applyNumberFormat="1" applyFont="1"/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EFE0-BFFF-4ABF-BF0C-C32659DE1818}">
  <dimension ref="A2:AC121"/>
  <sheetViews>
    <sheetView tabSelected="1" topLeftCell="C1" workbookViewId="0">
      <selection activeCell="V11" sqref="V11"/>
    </sheetView>
  </sheetViews>
  <sheetFormatPr defaultRowHeight="14.5" x14ac:dyDescent="0.35"/>
  <cols>
    <col min="5" max="11" width="8.7265625" style="3"/>
    <col min="12" max="12" width="8.7265625" style="5" customWidth="1"/>
    <col min="13" max="13" width="8.7265625" style="3" customWidth="1"/>
    <col min="14" max="14" width="9.08984375" bestFit="1" customWidth="1"/>
    <col min="23" max="24" width="8.81640625" bestFit="1" customWidth="1"/>
    <col min="25" max="25" width="9.1796875" bestFit="1" customWidth="1"/>
    <col min="26" max="27" width="9.08984375" bestFit="1" customWidth="1"/>
    <col min="28" max="28" width="10.08984375" bestFit="1" customWidth="1"/>
  </cols>
  <sheetData>
    <row r="2" spans="1:29" x14ac:dyDescent="0.35">
      <c r="P2" s="1" t="s">
        <v>12</v>
      </c>
      <c r="Q2" s="1" t="s">
        <v>11</v>
      </c>
      <c r="R2" s="1" t="s">
        <v>9</v>
      </c>
      <c r="S2" s="1" t="s">
        <v>10</v>
      </c>
      <c r="T2" s="1" t="s">
        <v>13</v>
      </c>
      <c r="W2" s="2">
        <v>220</v>
      </c>
      <c r="X2" s="2">
        <v>470</v>
      </c>
      <c r="Y2" s="2">
        <v>1000</v>
      </c>
      <c r="Z2" s="2">
        <v>2200</v>
      </c>
      <c r="AA2" s="2">
        <v>4700</v>
      </c>
      <c r="AB2" s="2">
        <v>10000</v>
      </c>
    </row>
    <row r="3" spans="1:29" x14ac:dyDescent="0.35">
      <c r="E3" s="3" t="s">
        <v>0</v>
      </c>
      <c r="M3" s="3" t="s">
        <v>8</v>
      </c>
      <c r="N3" t="s">
        <v>14</v>
      </c>
      <c r="P3" s="2">
        <v>460</v>
      </c>
      <c r="Q3" s="1">
        <v>2.5</v>
      </c>
      <c r="R3" s="1">
        <f>E$4-Q3</f>
        <v>0.81</v>
      </c>
      <c r="S3" s="2">
        <f>(R3*$P$3)/(5-R3)</f>
        <v>88.926014319809084</v>
      </c>
      <c r="T3" s="1">
        <v>460</v>
      </c>
      <c r="V3" t="s">
        <v>55</v>
      </c>
      <c r="W3" s="8">
        <v>8.5489495199963638E-3</v>
      </c>
      <c r="X3" s="8">
        <v>7.8974931943063716E-3</v>
      </c>
      <c r="Y3" s="8">
        <v>5.640945183465718E-3</v>
      </c>
      <c r="Z3" s="8">
        <v>1.0063115412720891</v>
      </c>
      <c r="AA3" s="8">
        <v>0.5288541725185042</v>
      </c>
      <c r="AB3" s="8">
        <v>0.26297700107411404</v>
      </c>
    </row>
    <row r="4" spans="1:29" x14ac:dyDescent="0.35">
      <c r="E4" s="3">
        <v>3.31</v>
      </c>
      <c r="P4" s="1"/>
      <c r="Q4" s="1">
        <v>3.3330000000000002</v>
      </c>
      <c r="R4" s="1">
        <f>E$4-Q4</f>
        <v>-2.3000000000000131E-2</v>
      </c>
      <c r="S4" s="2">
        <f>(R4*$P$3)/(5-R4)</f>
        <v>-2.1063109695401274</v>
      </c>
      <c r="T4" s="1">
        <v>230</v>
      </c>
      <c r="V4" t="s">
        <v>56</v>
      </c>
      <c r="W4" s="8">
        <v>2.8500978473581285E-2</v>
      </c>
      <c r="X4" s="8">
        <v>5.9434574976122256E-2</v>
      </c>
      <c r="Y4" s="8">
        <v>0.11191706539074958</v>
      </c>
      <c r="Z4" s="8">
        <v>56.679401282965117</v>
      </c>
      <c r="AA4" s="8">
        <v>73.767346938775503</v>
      </c>
      <c r="AB4" s="8">
        <v>73.767346938775518</v>
      </c>
    </row>
    <row r="5" spans="1:29" x14ac:dyDescent="0.35">
      <c r="G5" s="3" t="s">
        <v>2</v>
      </c>
      <c r="H5" s="3" t="s">
        <v>3</v>
      </c>
      <c r="I5" s="3" t="s">
        <v>4</v>
      </c>
      <c r="J5" s="3" t="s">
        <v>5</v>
      </c>
      <c r="K5" s="3" t="s">
        <v>6</v>
      </c>
      <c r="L5" s="5" t="s">
        <v>7</v>
      </c>
      <c r="P5" s="1"/>
      <c r="Q5" s="1">
        <v>3.75</v>
      </c>
      <c r="R5" s="1">
        <f>E$4-Q5</f>
        <v>-0.43999999999999995</v>
      </c>
      <c r="S5" s="2">
        <f>(R5*$P$3)/(5-R5)</f>
        <v>-37.205882352941174</v>
      </c>
      <c r="T5" s="1">
        <v>153</v>
      </c>
      <c r="V5" t="s">
        <v>57</v>
      </c>
      <c r="W5" s="8">
        <v>1.54961559098921E-2</v>
      </c>
      <c r="X5" s="8">
        <v>2.1667032355801603E-2</v>
      </c>
      <c r="Y5" s="8">
        <v>2.6353481108185233E-2</v>
      </c>
      <c r="Z5" s="8">
        <v>8.666882137021922</v>
      </c>
      <c r="AA5" s="8">
        <v>7.860082371248839</v>
      </c>
      <c r="AB5" s="8">
        <v>6.0369596763998716</v>
      </c>
    </row>
    <row r="6" spans="1:29" x14ac:dyDescent="0.35">
      <c r="C6" t="s">
        <v>50</v>
      </c>
      <c r="E6" s="3" t="s">
        <v>1</v>
      </c>
      <c r="G6" s="3">
        <v>460</v>
      </c>
      <c r="H6" s="3">
        <v>460</v>
      </c>
      <c r="I6" s="3">
        <v>460</v>
      </c>
      <c r="J6" s="3">
        <v>460</v>
      </c>
      <c r="K6" s="3">
        <v>460</v>
      </c>
      <c r="L6" s="5">
        <f>IF(G6+H6+I6+J6+K6 &lt;= 0, 0, 1/(IF(G6 &gt; 0, 1/G6, 0)+IF(H6 &gt; 0, 1/H6, 0)+IF(I6 &gt; 0, 1/I6, 0)+IF(J6 &gt; 0, 1/J6, 0)+IF(K6 &gt; 0, 1/K6, 0)))</f>
        <v>92</v>
      </c>
      <c r="M6" s="4">
        <f>IF(L6 = 0, 5, L6/(L6+E$7)*5)</f>
        <v>0.81850533807829184</v>
      </c>
      <c r="P6" s="1"/>
      <c r="Q6" s="1">
        <v>4</v>
      </c>
      <c r="R6" s="1">
        <f>E$4-Q6</f>
        <v>-0.69</v>
      </c>
      <c r="S6" s="2">
        <f>(R6*$P$3)/(5-R6)</f>
        <v>-55.782073813708259</v>
      </c>
      <c r="T6" s="1">
        <v>115</v>
      </c>
      <c r="V6" t="s">
        <v>58</v>
      </c>
      <c r="W6" s="8">
        <v>1.3315220391917217E-2</v>
      </c>
      <c r="X6" s="8">
        <v>1.5199804592085898E-2</v>
      </c>
      <c r="Y6" s="8">
        <v>1.311537719900091E-2</v>
      </c>
      <c r="Z6" s="8">
        <v>2.6855314897626616</v>
      </c>
      <c r="AA6" s="8">
        <v>1.5243243243243798</v>
      </c>
      <c r="AB6" s="8">
        <v>0.78916413047463729</v>
      </c>
    </row>
    <row r="7" spans="1:29" x14ac:dyDescent="0.35">
      <c r="C7">
        <f>$E$4*1000/$E$7</f>
        <v>7.042553191489362</v>
      </c>
      <c r="E7" s="3">
        <v>470</v>
      </c>
      <c r="G7" s="3">
        <v>460</v>
      </c>
      <c r="H7" s="3">
        <v>460</v>
      </c>
      <c r="I7" s="3">
        <v>460</v>
      </c>
      <c r="J7" s="3">
        <v>460</v>
      </c>
      <c r="L7" s="5">
        <f>IF(G7+H7+I7+J7+K7 &lt;= 0, 0, 1/(IF(G7 &gt; 0, 1/G7, 0)+IF(H7 &gt; 0, 1/H7, 0)+IF(I7 &gt; 0, 1/I7, 0)+IF(J7 &gt; 0, 1/J7, 0)+IF(K7 &gt; 0, 1/K7, 0)))</f>
        <v>115</v>
      </c>
      <c r="M7" s="4">
        <f>IF(L7 = 0, 5, L7/(L7+E$7)*5)</f>
        <v>0.98290598290598286</v>
      </c>
      <c r="P7" s="1"/>
      <c r="Q7" s="1">
        <v>4.17</v>
      </c>
      <c r="R7" s="1">
        <f>E$4-Q7</f>
        <v>-0.85999999999999988</v>
      </c>
      <c r="S7" s="2">
        <f>(R7*$P$3)/(5-R7)</f>
        <v>-67.508532423208194</v>
      </c>
      <c r="T7" s="1">
        <v>92</v>
      </c>
      <c r="V7" t="s">
        <v>59</v>
      </c>
      <c r="W7" s="8">
        <v>15.045454545454545</v>
      </c>
      <c r="X7" s="8">
        <v>7.042553191489362</v>
      </c>
      <c r="Y7" s="8">
        <v>3.31</v>
      </c>
      <c r="Z7" s="8">
        <f t="shared" ref="X7:AB7" si="0">5/Z2*1000</f>
        <v>2.2727272727272725</v>
      </c>
      <c r="AA7" s="8">
        <f t="shared" si="0"/>
        <v>1.0638297872340425</v>
      </c>
      <c r="AB7" s="8">
        <f t="shared" si="0"/>
        <v>0.5</v>
      </c>
    </row>
    <row r="8" spans="1:29" x14ac:dyDescent="0.35">
      <c r="G8" s="3">
        <v>460</v>
      </c>
      <c r="H8" s="3">
        <v>460</v>
      </c>
      <c r="I8" s="3">
        <v>460</v>
      </c>
      <c r="L8" s="5">
        <f>IF(G8+H8+I8+J8+K8 &lt;= 0, 0, 1/(IF(G8 &gt; 0, 1/G8, 0)+IF(H8 &gt; 0, 1/H8, 0)+IF(I8 &gt; 0, 1/I8, 0)+IF(J8 &gt; 0, 1/J8, 0)+IF(K8 &gt; 0, 1/K8, 0)))</f>
        <v>153.33333333333331</v>
      </c>
      <c r="M8" s="4">
        <f>IF(L8 = 0, 5, L8/(L8+E$7)*5)</f>
        <v>1.2299465240641712</v>
      </c>
    </row>
    <row r="9" spans="1:29" x14ac:dyDescent="0.35">
      <c r="G9" s="3">
        <v>460</v>
      </c>
      <c r="H9" s="3">
        <v>460</v>
      </c>
      <c r="L9" s="5">
        <f>IF(G9+H9+I9+J9+K9 &lt;= 0, 0, 1/(IF(G9 &gt; 0, 1/G9, 0)+IF(H9 &gt; 0, 1/H9, 0)+IF(I9 &gt; 0, 1/I9, 0)+IF(J9 &gt; 0, 1/J9, 0)+IF(K9 &gt; 0, 1/K9, 0)))</f>
        <v>230</v>
      </c>
      <c r="M9" s="4">
        <f>IF(L9 = 0, 5, L9/(L9+E$7)*5)</f>
        <v>1.6428571428571428</v>
      </c>
      <c r="AA9" t="s">
        <v>55</v>
      </c>
      <c r="AB9" s="8">
        <f>MIN(Y15:Y46)</f>
        <v>7.8974931943063716E-3</v>
      </c>
      <c r="AC9">
        <v>5.5344372319588338E-3</v>
      </c>
    </row>
    <row r="10" spans="1:29" x14ac:dyDescent="0.35">
      <c r="G10" s="3">
        <v>460</v>
      </c>
      <c r="L10" s="5">
        <f>IF(G10+H10+I10+J10+K10 &lt;= 0, 0, 1/(IF(G10 &gt; 0, 1/G10, 0)+IF(H10 &gt; 0, 1/H10, 0)+IF(I10 &gt; 0, 1/I10, 0)+IF(J10 &gt; 0, 1/J10, 0)+IF(K10 &gt; 0, 1/K10, 0)))</f>
        <v>460</v>
      </c>
      <c r="M10" s="4">
        <f>IF(L10 = 0, $E$4, L10/(L10+E$7)* $E$4)</f>
        <v>1.6372043010752688</v>
      </c>
      <c r="AA10" t="s">
        <v>56</v>
      </c>
      <c r="AB10" s="8">
        <f>MAX(Y15:Y46)</f>
        <v>5.9434574976122256E-2</v>
      </c>
      <c r="AC10">
        <v>0.12036363636363633</v>
      </c>
    </row>
    <row r="11" spans="1:29" x14ac:dyDescent="0.35">
      <c r="M11" s="4"/>
      <c r="AA11" t="s">
        <v>57</v>
      </c>
      <c r="AB11" s="8">
        <f>AVERAGE(Y15:Y46)</f>
        <v>2.1667032355801603E-2</v>
      </c>
      <c r="AC11">
        <v>2.6132606920260055E-2</v>
      </c>
    </row>
    <row r="12" spans="1:29" x14ac:dyDescent="0.35">
      <c r="M12" s="4"/>
      <c r="AA12" t="s">
        <v>58</v>
      </c>
      <c r="AB12" s="8">
        <f>MEDIAN(Y15:Y46)</f>
        <v>1.5199804592085898E-2</v>
      </c>
      <c r="AC12">
        <v>1.3043803940726307E-2</v>
      </c>
    </row>
    <row r="13" spans="1:29" x14ac:dyDescent="0.35">
      <c r="G13" s="3">
        <v>10000</v>
      </c>
      <c r="H13" s="3">
        <v>4700</v>
      </c>
      <c r="I13" s="3">
        <v>2200</v>
      </c>
      <c r="J13" s="3">
        <v>1000</v>
      </c>
      <c r="K13" s="3">
        <v>470</v>
      </c>
      <c r="L13" s="10" t="s">
        <v>53</v>
      </c>
      <c r="M13" s="10"/>
      <c r="N13" s="10"/>
      <c r="AA13" t="s">
        <v>59</v>
      </c>
      <c r="AB13" s="8">
        <f>$E$4*1000/$E$7</f>
        <v>7.042553191489362</v>
      </c>
      <c r="AC13">
        <v>3.31</v>
      </c>
    </row>
    <row r="14" spans="1:29" x14ac:dyDescent="0.35">
      <c r="B14" t="s">
        <v>60</v>
      </c>
      <c r="E14" s="3" t="s">
        <v>15</v>
      </c>
      <c r="F14" s="3" t="s">
        <v>17</v>
      </c>
      <c r="G14" s="3" t="s">
        <v>2</v>
      </c>
      <c r="H14" s="3" t="s">
        <v>3</v>
      </c>
      <c r="I14" s="3" t="s">
        <v>4</v>
      </c>
      <c r="J14" s="3" t="s">
        <v>5</v>
      </c>
      <c r="K14" s="3" t="s">
        <v>6</v>
      </c>
      <c r="L14" s="5" t="s">
        <v>7</v>
      </c>
      <c r="M14" s="4" t="s">
        <v>16</v>
      </c>
      <c r="N14" s="3"/>
      <c r="P14" s="3" t="s">
        <v>15</v>
      </c>
      <c r="Q14" s="3" t="s">
        <v>17</v>
      </c>
      <c r="R14" s="3" t="s">
        <v>2</v>
      </c>
      <c r="S14" s="3" t="s">
        <v>3</v>
      </c>
      <c r="T14" s="3" t="s">
        <v>4</v>
      </c>
      <c r="U14" s="3" t="s">
        <v>5</v>
      </c>
      <c r="V14" s="3" t="s">
        <v>6</v>
      </c>
      <c r="W14" s="5" t="s">
        <v>7</v>
      </c>
      <c r="X14" s="4" t="s">
        <v>16</v>
      </c>
      <c r="Y14" s="3" t="s">
        <v>51</v>
      </c>
      <c r="AA14" s="3"/>
    </row>
    <row r="15" spans="1:29" x14ac:dyDescent="0.35">
      <c r="A15" t="s">
        <v>61</v>
      </c>
      <c r="B15">
        <v>0.18</v>
      </c>
      <c r="D15" s="3">
        <v>0</v>
      </c>
      <c r="E15" s="3">
        <v>0</v>
      </c>
      <c r="F15" s="3" t="str">
        <f t="shared" ref="F15:F46" si="1">DEC2BIN(E15, 5)</f>
        <v>00000</v>
      </c>
      <c r="G15" s="3">
        <f>MID($F15, COLUMN(G1)-COLUMN($G1) + 1, 1) * G$13</f>
        <v>0</v>
      </c>
      <c r="H15" s="3">
        <f t="shared" ref="H15:K15" si="2">MID($F15, COLUMN(H1)-COLUMN($G1) + 1, 1) * H$13</f>
        <v>0</v>
      </c>
      <c r="I15" s="3">
        <f t="shared" si="2"/>
        <v>0</v>
      </c>
      <c r="J15" s="3">
        <f t="shared" si="2"/>
        <v>0</v>
      </c>
      <c r="K15" s="3">
        <f t="shared" si="2"/>
        <v>0</v>
      </c>
      <c r="L15" s="5">
        <f t="shared" ref="L15:L46" si="3">IF(G15+H15+I15+J15+K15 &lt;= 0, 0, 1/(IF(G15 &gt; 0, 1/G15, 0)+IF(H15 &gt; 0, 1/H15, 0)+IF(I15 &gt; 0, 1/I15, 0)+IF(J15 &gt; 0, 1/J15, 0)+IF(K15 &gt; 0, 1/K15, 0)))</f>
        <v>0</v>
      </c>
      <c r="M15" s="4">
        <f>5-IF(L15 = 0, 5, L15/(L15+E$7)*5)</f>
        <v>0</v>
      </c>
      <c r="N15" s="2"/>
      <c r="P15" s="3">
        <v>0</v>
      </c>
      <c r="Q15" s="3" t="s">
        <v>18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5">
        <v>0</v>
      </c>
      <c r="X15" s="4">
        <v>0</v>
      </c>
      <c r="Y15" s="6"/>
      <c r="AA15" s="2"/>
    </row>
    <row r="16" spans="1:29" x14ac:dyDescent="0.35">
      <c r="A16">
        <v>2</v>
      </c>
      <c r="B16">
        <v>1.075</v>
      </c>
      <c r="D16" s="3">
        <v>1</v>
      </c>
      <c r="E16" s="3">
        <v>1</v>
      </c>
      <c r="F16" s="3" t="str">
        <f t="shared" si="1"/>
        <v>00001</v>
      </c>
      <c r="G16" s="3">
        <f t="shared" ref="G16:K16" si="4">MID($F16, COLUMN(G2)-COLUMN($G2) + 1, 1) * G$13</f>
        <v>0</v>
      </c>
      <c r="H16" s="3">
        <f t="shared" si="4"/>
        <v>0</v>
      </c>
      <c r="I16" s="3">
        <f t="shared" si="4"/>
        <v>0</v>
      </c>
      <c r="J16" s="3">
        <f t="shared" si="4"/>
        <v>0</v>
      </c>
      <c r="K16" s="3">
        <f t="shared" si="4"/>
        <v>470</v>
      </c>
      <c r="L16" s="5">
        <f t="shared" si="3"/>
        <v>470</v>
      </c>
      <c r="M16" s="4">
        <f>$E$4-IF(L16 = 0, $E$4, L16/(L16+E$7)*$E$4)</f>
        <v>1.655</v>
      </c>
      <c r="N16" s="2"/>
      <c r="P16" s="3">
        <v>16</v>
      </c>
      <c r="Q16" s="3" t="s">
        <v>34</v>
      </c>
      <c r="R16" s="3">
        <v>10000</v>
      </c>
      <c r="S16" s="3">
        <v>0</v>
      </c>
      <c r="T16" s="3">
        <v>0</v>
      </c>
      <c r="U16" s="3">
        <v>0</v>
      </c>
      <c r="V16" s="3">
        <v>0</v>
      </c>
      <c r="W16" s="5">
        <v>10000</v>
      </c>
      <c r="X16" s="4">
        <v>0.14858643744030564</v>
      </c>
      <c r="Y16" s="8">
        <f>(MIN(ABS(X16-X15),ABS(X17-X16)) * 0.8) / 2</f>
        <v>5.9434574976122256E-2</v>
      </c>
      <c r="AA16" s="2"/>
      <c r="AB16" t="str">
        <f t="shared" ref="AB16:AB46" si="5">"_ALL_POWER_CARDS.append(PowerCard(" &amp; P16 &amp; ", " &amp; ROUND(X16, 3) &amp;", " &amp; ROUND(Y16, 3) &amp; "))"</f>
        <v>_ALL_POWER_CARDS.append(PowerCard(16, 0.149, 0.059))</v>
      </c>
    </row>
    <row r="17" spans="1:29" x14ac:dyDescent="0.35">
      <c r="A17">
        <v>8</v>
      </c>
      <c r="B17">
        <v>0.316</v>
      </c>
      <c r="D17" s="3">
        <v>2</v>
      </c>
      <c r="E17" s="3">
        <v>2</v>
      </c>
      <c r="F17" s="3" t="str">
        <f t="shared" si="1"/>
        <v>00010</v>
      </c>
      <c r="G17" s="3">
        <f t="shared" ref="G17:K17" si="6">MID($F17, COLUMN(G3)-COLUMN($G3) + 1, 1) * G$13</f>
        <v>0</v>
      </c>
      <c r="H17" s="3">
        <f t="shared" si="6"/>
        <v>0</v>
      </c>
      <c r="I17" s="3">
        <f t="shared" si="6"/>
        <v>0</v>
      </c>
      <c r="J17" s="3">
        <f t="shared" si="6"/>
        <v>1000</v>
      </c>
      <c r="K17" s="3">
        <f t="shared" si="6"/>
        <v>0</v>
      </c>
      <c r="L17" s="5">
        <f t="shared" si="3"/>
        <v>1000</v>
      </c>
      <c r="M17" s="4">
        <f t="shared" ref="M17:M46" si="7">$E$4-IF(L17 = 0, $E$4, L17/(L17+E$7)*$E$4)</f>
        <v>1.0582993197278912</v>
      </c>
      <c r="N17" s="2"/>
      <c r="P17" s="3">
        <v>8</v>
      </c>
      <c r="Q17" s="3" t="s">
        <v>26</v>
      </c>
      <c r="R17" s="3">
        <v>0</v>
      </c>
      <c r="S17" s="3">
        <v>4700</v>
      </c>
      <c r="T17" s="3">
        <v>0</v>
      </c>
      <c r="U17" s="3">
        <v>0</v>
      </c>
      <c r="V17" s="3">
        <v>0</v>
      </c>
      <c r="W17" s="5">
        <v>4700</v>
      </c>
      <c r="X17" s="4">
        <v>0.30090909090909079</v>
      </c>
      <c r="Y17" s="8">
        <f>(MIN(ABS(X17-X16),ABS(X18-X17)) * 0.8) / 2</f>
        <v>4.932075770785449E-2</v>
      </c>
      <c r="AA17" s="2"/>
      <c r="AB17" t="str">
        <f t="shared" si="5"/>
        <v>_ALL_POWER_CARDS.append(PowerCard(8, 0.301, 0.049))</v>
      </c>
      <c r="AC17" s="3"/>
    </row>
    <row r="18" spans="1:29" x14ac:dyDescent="0.35">
      <c r="A18">
        <v>10</v>
      </c>
      <c r="B18">
        <v>1.2170000000000001</v>
      </c>
      <c r="D18" s="3">
        <v>3</v>
      </c>
      <c r="E18" s="3">
        <v>3</v>
      </c>
      <c r="F18" s="3" t="str">
        <f t="shared" si="1"/>
        <v>00011</v>
      </c>
      <c r="G18" s="3">
        <f t="shared" ref="G18:K18" si="8">MID($F18, COLUMN(G4)-COLUMN($G4) + 1, 1) * G$13</f>
        <v>0</v>
      </c>
      <c r="H18" s="3">
        <f t="shared" si="8"/>
        <v>0</v>
      </c>
      <c r="I18" s="3">
        <f t="shared" si="8"/>
        <v>0</v>
      </c>
      <c r="J18" s="3">
        <f t="shared" si="8"/>
        <v>1000</v>
      </c>
      <c r="K18" s="3">
        <f t="shared" si="8"/>
        <v>470</v>
      </c>
      <c r="L18" s="5">
        <f t="shared" si="3"/>
        <v>319.72789115646259</v>
      </c>
      <c r="M18" s="4">
        <f t="shared" si="7"/>
        <v>1.9699190283400811</v>
      </c>
      <c r="N18" s="2"/>
      <c r="P18" s="3">
        <v>24</v>
      </c>
      <c r="Q18" s="3" t="s">
        <v>42</v>
      </c>
      <c r="R18" s="3">
        <v>10000</v>
      </c>
      <c r="S18" s="3">
        <v>4700</v>
      </c>
      <c r="T18" s="3">
        <v>0</v>
      </c>
      <c r="U18" s="3">
        <v>0</v>
      </c>
      <c r="V18" s="3">
        <v>0</v>
      </c>
      <c r="W18" s="5">
        <v>3197.2789115646256</v>
      </c>
      <c r="X18" s="4">
        <v>0.42421098517872702</v>
      </c>
      <c r="Y18" s="8">
        <f>(MIN(ABS(X18-X17),ABS(X19-X18)) * 0.8) / 2</f>
        <v>4.932075770785449E-2</v>
      </c>
      <c r="AA18" s="2"/>
      <c r="AB18" t="str">
        <f t="shared" si="5"/>
        <v>_ALL_POWER_CARDS.append(PowerCard(24, 0.424, 0.049))</v>
      </c>
      <c r="AC18" s="3"/>
    </row>
    <row r="19" spans="1:29" x14ac:dyDescent="0.35">
      <c r="A19">
        <v>16</v>
      </c>
      <c r="B19">
        <v>0.16400000000000001</v>
      </c>
      <c r="D19" s="3">
        <v>4</v>
      </c>
      <c r="E19" s="3">
        <v>4</v>
      </c>
      <c r="F19" s="3" t="str">
        <f t="shared" si="1"/>
        <v>00100</v>
      </c>
      <c r="G19" s="3">
        <f t="shared" ref="G19:K19" si="9">MID($F19, COLUMN(G5)-COLUMN($G5) + 1, 1) * G$13</f>
        <v>0</v>
      </c>
      <c r="H19" s="3">
        <f t="shared" si="9"/>
        <v>0</v>
      </c>
      <c r="I19" s="3">
        <f t="shared" si="9"/>
        <v>2200</v>
      </c>
      <c r="J19" s="3">
        <f t="shared" si="9"/>
        <v>0</v>
      </c>
      <c r="K19" s="3">
        <f t="shared" si="9"/>
        <v>0</v>
      </c>
      <c r="L19" s="5">
        <f t="shared" si="3"/>
        <v>2200</v>
      </c>
      <c r="M19" s="4">
        <f t="shared" si="7"/>
        <v>0.58265917602996264</v>
      </c>
      <c r="N19" s="2"/>
      <c r="P19" s="3">
        <v>4</v>
      </c>
      <c r="Q19" s="3" t="s">
        <v>22</v>
      </c>
      <c r="R19" s="3">
        <v>0</v>
      </c>
      <c r="S19" s="3">
        <v>0</v>
      </c>
      <c r="T19" s="3">
        <v>2200</v>
      </c>
      <c r="U19" s="3">
        <v>0</v>
      </c>
      <c r="V19" s="3">
        <v>0</v>
      </c>
      <c r="W19" s="5">
        <v>2200</v>
      </c>
      <c r="X19" s="4">
        <v>0.58265917602996264</v>
      </c>
      <c r="Y19" s="8">
        <f>(MIN(ABS(X19-X18),ABS(X20-X19)) * 0.8) / 2</f>
        <v>4.0673114761448304E-2</v>
      </c>
      <c r="AA19" s="2"/>
      <c r="AB19" t="str">
        <f t="shared" si="5"/>
        <v>_ALL_POWER_CARDS.append(PowerCard(4, 0.583, 0.041))</v>
      </c>
      <c r="AC19" s="3"/>
    </row>
    <row r="20" spans="1:29" x14ac:dyDescent="0.35">
      <c r="A20">
        <v>18</v>
      </c>
      <c r="B20">
        <v>1.1419999999999999</v>
      </c>
      <c r="D20" s="3">
        <v>5</v>
      </c>
      <c r="E20" s="3">
        <v>5</v>
      </c>
      <c r="F20" s="3" t="str">
        <f t="shared" si="1"/>
        <v>00101</v>
      </c>
      <c r="G20" s="3">
        <f t="shared" ref="G20:K20" si="10">MID($F20, COLUMN(G6)-COLUMN($G6) + 1, 1) * G$13</f>
        <v>0</v>
      </c>
      <c r="H20" s="3">
        <f t="shared" si="10"/>
        <v>0</v>
      </c>
      <c r="I20" s="3">
        <f t="shared" si="10"/>
        <v>2200</v>
      </c>
      <c r="J20" s="3">
        <f t="shared" si="10"/>
        <v>0</v>
      </c>
      <c r="K20" s="3">
        <f t="shared" si="10"/>
        <v>470</v>
      </c>
      <c r="L20" s="5">
        <f t="shared" si="3"/>
        <v>387.26591760299624</v>
      </c>
      <c r="M20" s="4">
        <f t="shared" si="7"/>
        <v>1.8147227926078029</v>
      </c>
      <c r="N20" s="2"/>
      <c r="P20" s="3">
        <v>20</v>
      </c>
      <c r="Q20" s="3" t="s">
        <v>38</v>
      </c>
      <c r="R20" s="3">
        <v>10000</v>
      </c>
      <c r="S20" s="3">
        <v>0</v>
      </c>
      <c r="T20" s="3">
        <v>2200</v>
      </c>
      <c r="U20" s="3">
        <v>0</v>
      </c>
      <c r="V20" s="3">
        <v>0</v>
      </c>
      <c r="W20" s="5">
        <v>1803.2786885245901</v>
      </c>
      <c r="X20" s="4">
        <v>0.6843419629335834</v>
      </c>
      <c r="Y20" s="8">
        <f>(MIN(ABS(X20-X19),ABS(X21-X20)) * 0.8) / 2</f>
        <v>4.0673114761448304E-2</v>
      </c>
      <c r="AA20" s="2"/>
      <c r="AB20" t="str">
        <f t="shared" si="5"/>
        <v>_ALL_POWER_CARDS.append(PowerCard(20, 0.684, 0.041))</v>
      </c>
      <c r="AC20" s="3"/>
    </row>
    <row r="21" spans="1:29" x14ac:dyDescent="0.35">
      <c r="D21" s="3">
        <v>6</v>
      </c>
      <c r="E21" s="3">
        <v>6</v>
      </c>
      <c r="F21" s="3" t="str">
        <f t="shared" si="1"/>
        <v>00110</v>
      </c>
      <c r="G21" s="3">
        <f t="shared" ref="G21:K21" si="11">MID($F21, COLUMN(G7)-COLUMN($G7) + 1, 1) * G$13</f>
        <v>0</v>
      </c>
      <c r="H21" s="3">
        <f t="shared" si="11"/>
        <v>0</v>
      </c>
      <c r="I21" s="3">
        <f t="shared" si="11"/>
        <v>2200</v>
      </c>
      <c r="J21" s="3">
        <f t="shared" si="11"/>
        <v>1000</v>
      </c>
      <c r="K21" s="3">
        <f t="shared" si="11"/>
        <v>0</v>
      </c>
      <c r="L21" s="5">
        <f t="shared" si="3"/>
        <v>687.5</v>
      </c>
      <c r="M21" s="4">
        <f t="shared" si="7"/>
        <v>1.3440172786177105</v>
      </c>
      <c r="N21" s="2"/>
      <c r="P21" s="3">
        <v>12</v>
      </c>
      <c r="Q21" s="3" t="s">
        <v>30</v>
      </c>
      <c r="R21" s="3">
        <v>0</v>
      </c>
      <c r="S21" s="3">
        <v>4700</v>
      </c>
      <c r="T21" s="3">
        <v>2200</v>
      </c>
      <c r="U21" s="3">
        <v>0</v>
      </c>
      <c r="V21" s="3">
        <v>0</v>
      </c>
      <c r="W21" s="5">
        <v>1498.550724637681</v>
      </c>
      <c r="X21" s="4">
        <v>0.7902768166089964</v>
      </c>
      <c r="Y21" s="8">
        <f>(MIN(ABS(X21-X20),ABS(X22-X21)) * 0.8) / 2</f>
        <v>3.4815177011108568E-2</v>
      </c>
      <c r="AA21" s="2"/>
      <c r="AB21" t="str">
        <f t="shared" si="5"/>
        <v>_ALL_POWER_CARDS.append(PowerCard(12, 0.79, 0.035))</v>
      </c>
      <c r="AC21" s="3"/>
    </row>
    <row r="22" spans="1:29" x14ac:dyDescent="0.35">
      <c r="D22" s="3">
        <v>7</v>
      </c>
      <c r="E22" s="3">
        <v>7</v>
      </c>
      <c r="F22" s="3" t="str">
        <f t="shared" si="1"/>
        <v>00111</v>
      </c>
      <c r="G22" s="3">
        <f t="shared" ref="G22:K22" si="12">MID($F22, COLUMN(G8)-COLUMN($G8) + 1, 1) * G$13</f>
        <v>0</v>
      </c>
      <c r="H22" s="3">
        <f t="shared" si="12"/>
        <v>0</v>
      </c>
      <c r="I22" s="3">
        <f t="shared" si="12"/>
        <v>2200</v>
      </c>
      <c r="J22" s="3">
        <f t="shared" si="12"/>
        <v>1000</v>
      </c>
      <c r="K22" s="3">
        <f t="shared" si="12"/>
        <v>470</v>
      </c>
      <c r="L22" s="5">
        <f t="shared" si="3"/>
        <v>279.15766738660909</v>
      </c>
      <c r="M22" s="4">
        <f t="shared" si="7"/>
        <v>2.0765989159891598</v>
      </c>
      <c r="N22" s="2"/>
      <c r="P22" s="3">
        <v>28</v>
      </c>
      <c r="Q22" s="3" t="s">
        <v>46</v>
      </c>
      <c r="R22" s="3">
        <v>10000</v>
      </c>
      <c r="S22" s="3">
        <v>4700</v>
      </c>
      <c r="T22" s="3">
        <v>2200</v>
      </c>
      <c r="U22" s="3">
        <v>0</v>
      </c>
      <c r="V22" s="3">
        <v>0</v>
      </c>
      <c r="W22" s="5">
        <v>1303.2518275775144</v>
      </c>
      <c r="X22" s="4">
        <v>0.87731475913676782</v>
      </c>
      <c r="Y22" s="8">
        <f>(MIN(ABS(X22-X21),ABS(X23-X22)) * 0.8) / 2</f>
        <v>3.4815177011108568E-2</v>
      </c>
      <c r="AA22" s="2"/>
      <c r="AB22" t="str">
        <f t="shared" si="5"/>
        <v>_ALL_POWER_CARDS.append(PowerCard(28, 0.877, 0.035))</v>
      </c>
      <c r="AC22" s="3"/>
    </row>
    <row r="23" spans="1:29" x14ac:dyDescent="0.35">
      <c r="D23" s="3">
        <v>8</v>
      </c>
      <c r="E23" s="3">
        <v>8</v>
      </c>
      <c r="F23" s="3" t="str">
        <f t="shared" si="1"/>
        <v>01000</v>
      </c>
      <c r="G23" s="3">
        <f t="shared" ref="G23:K23" si="13">MID($F23, COLUMN(G9)-COLUMN($G9) + 1, 1) * G$13</f>
        <v>0</v>
      </c>
      <c r="H23" s="3">
        <f t="shared" si="13"/>
        <v>4700</v>
      </c>
      <c r="I23" s="3">
        <f t="shared" si="13"/>
        <v>0</v>
      </c>
      <c r="J23" s="3">
        <f t="shared" si="13"/>
        <v>0</v>
      </c>
      <c r="K23" s="3">
        <f t="shared" si="13"/>
        <v>0</v>
      </c>
      <c r="L23" s="5">
        <f t="shared" si="3"/>
        <v>4700</v>
      </c>
      <c r="M23" s="4">
        <f t="shared" si="7"/>
        <v>0.30090909090909079</v>
      </c>
      <c r="N23" s="2"/>
      <c r="P23" s="3">
        <v>2</v>
      </c>
      <c r="Q23" s="3" t="s">
        <v>20</v>
      </c>
      <c r="R23" s="3">
        <v>0</v>
      </c>
      <c r="S23" s="3">
        <v>0</v>
      </c>
      <c r="T23" s="3">
        <v>0</v>
      </c>
      <c r="U23" s="3">
        <v>1000</v>
      </c>
      <c r="V23" s="3">
        <v>0</v>
      </c>
      <c r="W23" s="5">
        <v>1000</v>
      </c>
      <c r="X23" s="4">
        <v>1.0582993197278912</v>
      </c>
      <c r="Y23" s="8">
        <f>(MIN(ABS(X23-X22),ABS(X24-X23)) * 0.8) / 2</f>
        <v>2.7905057870214734E-2</v>
      </c>
      <c r="AA23" s="2"/>
      <c r="AB23" t="str">
        <f t="shared" si="5"/>
        <v>_ALL_POWER_CARDS.append(PowerCard(2, 1.058, 0.028))</v>
      </c>
      <c r="AC23" s="3"/>
    </row>
    <row r="24" spans="1:29" x14ac:dyDescent="0.35">
      <c r="D24" s="3">
        <v>9</v>
      </c>
      <c r="E24" s="3">
        <v>9</v>
      </c>
      <c r="F24" s="3" t="str">
        <f t="shared" si="1"/>
        <v>01001</v>
      </c>
      <c r="G24" s="3">
        <f t="shared" ref="G24:K24" si="14">MID($F24, COLUMN(G10)-COLUMN($G10) + 1, 1) * G$13</f>
        <v>0</v>
      </c>
      <c r="H24" s="3">
        <f t="shared" si="14"/>
        <v>4700</v>
      </c>
      <c r="I24" s="3">
        <f t="shared" si="14"/>
        <v>0</v>
      </c>
      <c r="J24" s="3">
        <f t="shared" si="14"/>
        <v>0</v>
      </c>
      <c r="K24" s="3">
        <f t="shared" si="14"/>
        <v>470</v>
      </c>
      <c r="L24" s="5">
        <f t="shared" si="3"/>
        <v>427.27272727272725</v>
      </c>
      <c r="M24" s="4">
        <f t="shared" si="7"/>
        <v>1.7338095238095239</v>
      </c>
      <c r="N24" s="2"/>
      <c r="P24" s="3">
        <v>18</v>
      </c>
      <c r="Q24" s="3" t="s">
        <v>36</v>
      </c>
      <c r="R24" s="3">
        <v>10000</v>
      </c>
      <c r="S24" s="3">
        <v>0</v>
      </c>
      <c r="T24" s="3">
        <v>0</v>
      </c>
      <c r="U24" s="3">
        <v>1000</v>
      </c>
      <c r="V24" s="3">
        <v>0</v>
      </c>
      <c r="W24" s="5">
        <v>909.09090909090901</v>
      </c>
      <c r="X24" s="4">
        <v>1.128061964403428</v>
      </c>
      <c r="Y24" s="8">
        <f>(MIN(ABS(X24-X23),ABS(X25-X24)) * 0.8) / 2</f>
        <v>2.7905057870214734E-2</v>
      </c>
      <c r="AA24" s="2"/>
      <c r="AB24" t="str">
        <f t="shared" si="5"/>
        <v>_ALL_POWER_CARDS.append(PowerCard(18, 1.128, 0.028))</v>
      </c>
      <c r="AC24" s="3"/>
    </row>
    <row r="25" spans="1:29" x14ac:dyDescent="0.35">
      <c r="D25" s="3">
        <v>10</v>
      </c>
      <c r="E25" s="3">
        <v>10</v>
      </c>
      <c r="F25" s="3" t="str">
        <f t="shared" si="1"/>
        <v>01010</v>
      </c>
      <c r="G25" s="3">
        <f t="shared" ref="G25:K25" si="15">MID($F25, COLUMN(G11)-COLUMN($G11) + 1, 1) * G$13</f>
        <v>0</v>
      </c>
      <c r="H25" s="3">
        <f t="shared" si="15"/>
        <v>4700</v>
      </c>
      <c r="I25" s="3">
        <f t="shared" si="15"/>
        <v>0</v>
      </c>
      <c r="J25" s="3">
        <f t="shared" si="15"/>
        <v>1000</v>
      </c>
      <c r="K25" s="3">
        <f t="shared" si="15"/>
        <v>0</v>
      </c>
      <c r="L25" s="5">
        <f t="shared" si="3"/>
        <v>824.56140350877195</v>
      </c>
      <c r="M25" s="4">
        <f t="shared" si="7"/>
        <v>1.2017197452229302</v>
      </c>
      <c r="N25" s="2"/>
      <c r="P25" s="3">
        <v>10</v>
      </c>
      <c r="Q25" s="3" t="s">
        <v>28</v>
      </c>
      <c r="R25" s="3">
        <v>0</v>
      </c>
      <c r="S25" s="3">
        <v>4700</v>
      </c>
      <c r="T25" s="3">
        <v>0</v>
      </c>
      <c r="U25" s="3">
        <v>1000</v>
      </c>
      <c r="V25" s="3">
        <v>0</v>
      </c>
      <c r="W25" s="5">
        <v>824.56140350877195</v>
      </c>
      <c r="X25" s="4">
        <v>1.2017197452229302</v>
      </c>
      <c r="Y25" s="8">
        <f>(MIN(ABS(X25-X24),ABS(X26-X25)) * 0.8) / 2</f>
        <v>2.4511854539152014E-2</v>
      </c>
      <c r="AA25" s="2"/>
      <c r="AB25" t="str">
        <f t="shared" si="5"/>
        <v>_ALL_POWER_CARDS.append(PowerCard(10, 1.202, 0.025))</v>
      </c>
      <c r="AC25" s="3"/>
    </row>
    <row r="26" spans="1:29" x14ac:dyDescent="0.35">
      <c r="D26" s="3">
        <v>11</v>
      </c>
      <c r="E26" s="3">
        <v>11</v>
      </c>
      <c r="F26" s="3" t="str">
        <f t="shared" si="1"/>
        <v>01011</v>
      </c>
      <c r="G26" s="3">
        <f t="shared" ref="G26:K26" si="16">MID($F26, COLUMN(G12)-COLUMN($G12) + 1, 1) * G$13</f>
        <v>0</v>
      </c>
      <c r="H26" s="3">
        <f t="shared" si="16"/>
        <v>4700</v>
      </c>
      <c r="I26" s="3">
        <f t="shared" si="16"/>
        <v>0</v>
      </c>
      <c r="J26" s="3">
        <f t="shared" si="16"/>
        <v>1000</v>
      </c>
      <c r="K26" s="3">
        <f t="shared" si="16"/>
        <v>470</v>
      </c>
      <c r="L26" s="5">
        <f t="shared" si="3"/>
        <v>299.36305732484078</v>
      </c>
      <c r="M26" s="4">
        <f t="shared" si="7"/>
        <v>2.0220622568093383</v>
      </c>
      <c r="N26" s="2"/>
      <c r="P26" s="3">
        <v>26</v>
      </c>
      <c r="Q26" s="3" t="s">
        <v>44</v>
      </c>
      <c r="R26" s="3">
        <v>10000</v>
      </c>
      <c r="S26" s="3">
        <v>4700</v>
      </c>
      <c r="T26" s="3">
        <v>0</v>
      </c>
      <c r="U26" s="3">
        <v>1000</v>
      </c>
      <c r="V26" s="3">
        <v>0</v>
      </c>
      <c r="W26" s="5">
        <v>761.75040518638571</v>
      </c>
      <c r="X26" s="4">
        <v>1.2629993815708103</v>
      </c>
      <c r="Y26" s="8">
        <f>(MIN(ABS(X26-X25),ABS(X27-X26)) * 0.8) / 2</f>
        <v>2.4511854539152014E-2</v>
      </c>
      <c r="AA26" s="2"/>
      <c r="AB26" t="str">
        <f t="shared" si="5"/>
        <v>_ALL_POWER_CARDS.append(PowerCard(26, 1.263, 0.025))</v>
      </c>
      <c r="AC26" s="3"/>
    </row>
    <row r="27" spans="1:29" x14ac:dyDescent="0.35">
      <c r="D27" s="3">
        <v>12</v>
      </c>
      <c r="E27" s="3">
        <v>12</v>
      </c>
      <c r="F27" s="3" t="str">
        <f t="shared" si="1"/>
        <v>01100</v>
      </c>
      <c r="G27" s="3">
        <f t="shared" ref="G27:K27" si="17">MID($F27, COLUMN(G13)-COLUMN($G13) + 1, 1) * G$13</f>
        <v>0</v>
      </c>
      <c r="H27" s="3">
        <f t="shared" si="17"/>
        <v>4700</v>
      </c>
      <c r="I27" s="3">
        <f t="shared" si="17"/>
        <v>2200</v>
      </c>
      <c r="J27" s="3">
        <f t="shared" si="17"/>
        <v>0</v>
      </c>
      <c r="K27" s="3">
        <f t="shared" si="17"/>
        <v>0</v>
      </c>
      <c r="L27" s="5">
        <f t="shared" si="3"/>
        <v>1498.550724637681</v>
      </c>
      <c r="M27" s="4">
        <f t="shared" si="7"/>
        <v>0.7902768166089964</v>
      </c>
      <c r="N27" s="2"/>
      <c r="P27" s="3">
        <v>6</v>
      </c>
      <c r="Q27" s="3" t="s">
        <v>24</v>
      </c>
      <c r="R27" s="3">
        <v>0</v>
      </c>
      <c r="S27" s="3">
        <v>0</v>
      </c>
      <c r="T27" s="3">
        <v>2200</v>
      </c>
      <c r="U27" s="3">
        <v>1000</v>
      </c>
      <c r="V27" s="3">
        <v>0</v>
      </c>
      <c r="W27" s="5">
        <v>687.5</v>
      </c>
      <c r="X27" s="4">
        <v>1.3440172786177105</v>
      </c>
      <c r="Y27" s="8">
        <f>(MIN(ABS(X27-X26),ABS(X28-X27)) * 0.8) / 2</f>
        <v>2.1356580699787742E-2</v>
      </c>
      <c r="AA27" s="2"/>
      <c r="AB27" t="str">
        <f t="shared" si="5"/>
        <v>_ALL_POWER_CARDS.append(PowerCard(6, 1.344, 0.021))</v>
      </c>
    </row>
    <row r="28" spans="1:29" x14ac:dyDescent="0.35">
      <c r="D28" s="3">
        <v>13</v>
      </c>
      <c r="E28" s="3">
        <v>13</v>
      </c>
      <c r="F28" s="3" t="str">
        <f t="shared" si="1"/>
        <v>01101</v>
      </c>
      <c r="G28" s="3">
        <f t="shared" ref="G28:K28" si="18">MID($F28, COLUMN(G14)-COLUMN($G14) + 1, 1) * G$13</f>
        <v>0</v>
      </c>
      <c r="H28" s="3">
        <f t="shared" si="18"/>
        <v>4700</v>
      </c>
      <c r="I28" s="3">
        <f t="shared" si="18"/>
        <v>2200</v>
      </c>
      <c r="J28" s="3">
        <f t="shared" si="18"/>
        <v>0</v>
      </c>
      <c r="K28" s="3">
        <f t="shared" si="18"/>
        <v>470</v>
      </c>
      <c r="L28" s="5">
        <f t="shared" si="3"/>
        <v>357.78546712802768</v>
      </c>
      <c r="M28" s="4">
        <f t="shared" si="7"/>
        <v>1.8793516699410608</v>
      </c>
      <c r="N28" s="2"/>
      <c r="P28" s="3">
        <v>22</v>
      </c>
      <c r="Q28" s="3" t="s">
        <v>40</v>
      </c>
      <c r="R28" s="3">
        <v>10000</v>
      </c>
      <c r="S28" s="3">
        <v>0</v>
      </c>
      <c r="T28" s="3">
        <v>2200</v>
      </c>
      <c r="U28" s="3">
        <v>1000</v>
      </c>
      <c r="V28" s="3">
        <v>0</v>
      </c>
      <c r="W28" s="5">
        <v>643.27485380116957</v>
      </c>
      <c r="X28" s="4">
        <v>1.3974087303671798</v>
      </c>
      <c r="Y28" s="8">
        <f>(MIN(ABS(X28-X27),ABS(X29-X28)) * 0.8) / 2</f>
        <v>2.1356580699787742E-2</v>
      </c>
      <c r="AA28" s="2"/>
      <c r="AB28" t="str">
        <f t="shared" si="5"/>
        <v>_ALL_POWER_CARDS.append(PowerCard(22, 1.397, 0.021))</v>
      </c>
    </row>
    <row r="29" spans="1:29" x14ac:dyDescent="0.35">
      <c r="D29" s="3">
        <v>14</v>
      </c>
      <c r="E29" s="3">
        <v>14</v>
      </c>
      <c r="F29" s="3" t="str">
        <f t="shared" si="1"/>
        <v>01110</v>
      </c>
      <c r="G29" s="3">
        <f t="shared" ref="G29:K29" si="19">MID($F29, COLUMN(G15)-COLUMN($G15) + 1, 1) * G$13</f>
        <v>0</v>
      </c>
      <c r="H29" s="3">
        <f t="shared" si="19"/>
        <v>4700</v>
      </c>
      <c r="I29" s="3">
        <f t="shared" si="19"/>
        <v>2200</v>
      </c>
      <c r="J29" s="3">
        <f t="shared" si="19"/>
        <v>1000</v>
      </c>
      <c r="K29" s="3">
        <f t="shared" si="19"/>
        <v>0</v>
      </c>
      <c r="L29" s="5">
        <f t="shared" si="3"/>
        <v>599.76798143851511</v>
      </c>
      <c r="M29" s="4">
        <f t="shared" si="7"/>
        <v>1.4542405708460755</v>
      </c>
      <c r="N29" s="2"/>
      <c r="P29" s="3">
        <v>14</v>
      </c>
      <c r="Q29" s="3" t="s">
        <v>32</v>
      </c>
      <c r="R29" s="3">
        <v>0</v>
      </c>
      <c r="S29" s="3">
        <v>4700</v>
      </c>
      <c r="T29" s="3">
        <v>2200</v>
      </c>
      <c r="U29" s="3">
        <v>1000</v>
      </c>
      <c r="V29" s="3">
        <v>0</v>
      </c>
      <c r="W29" s="5">
        <v>599.76798143851511</v>
      </c>
      <c r="X29" s="4">
        <v>1.4542405708460755</v>
      </c>
      <c r="Y29" s="8">
        <f>(MIN(ABS(X29-X28),ABS(X30-X29)) * 0.8) / 2</f>
        <v>1.9058005162091354E-2</v>
      </c>
      <c r="AA29" s="2"/>
      <c r="AB29" t="str">
        <f t="shared" si="5"/>
        <v>_ALL_POWER_CARDS.append(PowerCard(14, 1.454, 0.019))</v>
      </c>
    </row>
    <row r="30" spans="1:29" x14ac:dyDescent="0.35">
      <c r="D30" s="3">
        <v>15</v>
      </c>
      <c r="E30" s="3">
        <v>15</v>
      </c>
      <c r="F30" s="3" t="str">
        <f t="shared" si="1"/>
        <v>01111</v>
      </c>
      <c r="G30" s="3">
        <f t="shared" ref="G30:K30" si="20">MID($F30, COLUMN(G16)-COLUMN($G16) + 1, 1) * G$13</f>
        <v>0</v>
      </c>
      <c r="H30" s="3">
        <f t="shared" si="20"/>
        <v>4700</v>
      </c>
      <c r="I30" s="3">
        <f t="shared" si="20"/>
        <v>2200</v>
      </c>
      <c r="J30" s="3">
        <f t="shared" si="20"/>
        <v>1000</v>
      </c>
      <c r="K30" s="3">
        <f t="shared" si="20"/>
        <v>470</v>
      </c>
      <c r="L30" s="5">
        <f t="shared" si="3"/>
        <v>263.50662589194701</v>
      </c>
      <c r="M30" s="4">
        <f t="shared" si="7"/>
        <v>2.120907903331156</v>
      </c>
      <c r="N30" s="2"/>
      <c r="P30" s="3">
        <v>30</v>
      </c>
      <c r="Q30" s="3" t="s">
        <v>48</v>
      </c>
      <c r="R30" s="3">
        <v>10000</v>
      </c>
      <c r="S30" s="3">
        <v>4700</v>
      </c>
      <c r="T30" s="3">
        <v>2200</v>
      </c>
      <c r="U30" s="3">
        <v>1000</v>
      </c>
      <c r="V30" s="3">
        <v>0</v>
      </c>
      <c r="W30" s="5">
        <v>565.83123563532888</v>
      </c>
      <c r="X30" s="4">
        <v>1.5018855837513039</v>
      </c>
      <c r="Y30" s="8">
        <f>(MIN(ABS(X30-X29),ABS(X31-X30)) * 0.8) / 2</f>
        <v>1.9058005162091354E-2</v>
      </c>
      <c r="AA30" s="2"/>
      <c r="AB30" t="str">
        <f t="shared" si="5"/>
        <v>_ALL_POWER_CARDS.append(PowerCard(30, 1.502, 0.019))</v>
      </c>
    </row>
    <row r="31" spans="1:29" x14ac:dyDescent="0.35">
      <c r="D31" s="3">
        <v>16</v>
      </c>
      <c r="E31" s="3">
        <v>16</v>
      </c>
      <c r="F31" s="3" t="str">
        <f t="shared" si="1"/>
        <v>10000</v>
      </c>
      <c r="G31" s="3">
        <f t="shared" ref="G31:K31" si="21">MID($F31, COLUMN(G17)-COLUMN($G17) + 1, 1) * G$13</f>
        <v>10000</v>
      </c>
      <c r="H31" s="3">
        <f t="shared" si="21"/>
        <v>0</v>
      </c>
      <c r="I31" s="3">
        <f t="shared" si="21"/>
        <v>0</v>
      </c>
      <c r="J31" s="3">
        <f t="shared" si="21"/>
        <v>0</v>
      </c>
      <c r="K31" s="3">
        <f t="shared" si="21"/>
        <v>0</v>
      </c>
      <c r="L31" s="5">
        <f t="shared" si="3"/>
        <v>10000</v>
      </c>
      <c r="M31" s="4">
        <f t="shared" si="7"/>
        <v>0.14858643744030564</v>
      </c>
      <c r="N31" s="2"/>
      <c r="P31" s="3">
        <v>1</v>
      </c>
      <c r="Q31" s="3" t="s">
        <v>19</v>
      </c>
      <c r="R31" s="3">
        <v>0</v>
      </c>
      <c r="S31" s="3">
        <v>0</v>
      </c>
      <c r="T31" s="3">
        <v>0</v>
      </c>
      <c r="U31" s="3">
        <v>0</v>
      </c>
      <c r="V31" s="3">
        <v>470</v>
      </c>
      <c r="W31" s="5">
        <v>470</v>
      </c>
      <c r="X31" s="4">
        <v>1.655</v>
      </c>
      <c r="Y31" s="8">
        <f>(MIN(ABS(X31-X30),ABS(X32-X31)) * 0.8) / 2</f>
        <v>1.5199804592085898E-2</v>
      </c>
      <c r="AA31" s="2"/>
      <c r="AB31" t="str">
        <f t="shared" si="5"/>
        <v>_ALL_POWER_CARDS.append(PowerCard(1, 1.655, 0.015))</v>
      </c>
    </row>
    <row r="32" spans="1:29" x14ac:dyDescent="0.35">
      <c r="D32" s="3">
        <v>17</v>
      </c>
      <c r="E32" s="3">
        <v>17</v>
      </c>
      <c r="F32" s="3" t="str">
        <f t="shared" si="1"/>
        <v>10001</v>
      </c>
      <c r="G32" s="3">
        <f t="shared" ref="G32:K32" si="22">MID($F32, COLUMN(G18)-COLUMN($G18) + 1, 1) * G$13</f>
        <v>10000</v>
      </c>
      <c r="H32" s="3">
        <f t="shared" si="22"/>
        <v>0</v>
      </c>
      <c r="I32" s="3">
        <f t="shared" si="22"/>
        <v>0</v>
      </c>
      <c r="J32" s="3">
        <f t="shared" si="22"/>
        <v>0</v>
      </c>
      <c r="K32" s="3">
        <f t="shared" si="22"/>
        <v>470</v>
      </c>
      <c r="L32" s="5">
        <f t="shared" si="3"/>
        <v>448.90162368672401</v>
      </c>
      <c r="M32" s="4">
        <f t="shared" si="7"/>
        <v>1.6929995114802148</v>
      </c>
      <c r="N32" s="2"/>
      <c r="P32" s="3">
        <v>17</v>
      </c>
      <c r="Q32" s="3" t="s">
        <v>35</v>
      </c>
      <c r="R32" s="3">
        <v>10000</v>
      </c>
      <c r="S32" s="3">
        <v>0</v>
      </c>
      <c r="T32" s="3">
        <v>0</v>
      </c>
      <c r="U32" s="3">
        <v>0</v>
      </c>
      <c r="V32" s="3">
        <v>470</v>
      </c>
      <c r="W32" s="5">
        <v>448.90162368672401</v>
      </c>
      <c r="X32" s="4">
        <v>1.6929995114802148</v>
      </c>
      <c r="Y32" s="8">
        <f>(MIN(ABS(X32-X31),ABS(X33-X32)) * 0.8) / 2</f>
        <v>1.5199804592085898E-2</v>
      </c>
      <c r="AA32" s="2"/>
      <c r="AB32" t="str">
        <f t="shared" si="5"/>
        <v>_ALL_POWER_CARDS.append(PowerCard(17, 1.693, 0.015))</v>
      </c>
    </row>
    <row r="33" spans="2:28" x14ac:dyDescent="0.35">
      <c r="D33" s="3">
        <v>18</v>
      </c>
      <c r="E33" s="3">
        <v>18</v>
      </c>
      <c r="F33" s="3" t="str">
        <f t="shared" si="1"/>
        <v>10010</v>
      </c>
      <c r="G33" s="3">
        <f t="shared" ref="G33:K33" si="23">MID($F33, COLUMN(G19)-COLUMN($G19) + 1, 1) * G$13</f>
        <v>10000</v>
      </c>
      <c r="H33" s="3">
        <f t="shared" si="23"/>
        <v>0</v>
      </c>
      <c r="I33" s="3">
        <f t="shared" si="23"/>
        <v>0</v>
      </c>
      <c r="J33" s="3">
        <f t="shared" si="23"/>
        <v>1000</v>
      </c>
      <c r="K33" s="3">
        <f t="shared" si="23"/>
        <v>0</v>
      </c>
      <c r="L33" s="5">
        <f t="shared" si="3"/>
        <v>909.09090909090901</v>
      </c>
      <c r="M33" s="4">
        <f t="shared" si="7"/>
        <v>1.128061964403428</v>
      </c>
      <c r="N33" s="2"/>
      <c r="P33" s="3">
        <v>9</v>
      </c>
      <c r="Q33" s="3" t="s">
        <v>27</v>
      </c>
      <c r="R33" s="3">
        <v>0</v>
      </c>
      <c r="S33" s="3">
        <v>4700</v>
      </c>
      <c r="T33" s="3">
        <v>0</v>
      </c>
      <c r="U33" s="3">
        <v>0</v>
      </c>
      <c r="V33" s="3">
        <v>470</v>
      </c>
      <c r="W33" s="5">
        <v>427.27272727272725</v>
      </c>
      <c r="X33" s="4">
        <v>1.7338095238095239</v>
      </c>
      <c r="Y33" s="8">
        <f>(MIN(ABS(X33-X32),ABS(X34-X33)) * 0.8) / 2</f>
        <v>1.3801761039767513E-2</v>
      </c>
      <c r="AA33" s="2"/>
      <c r="AB33" t="str">
        <f t="shared" si="5"/>
        <v>_ALL_POWER_CARDS.append(PowerCard(9, 1.734, 0.014))</v>
      </c>
    </row>
    <row r="34" spans="2:28" x14ac:dyDescent="0.35">
      <c r="D34" s="3">
        <v>19</v>
      </c>
      <c r="E34" s="3">
        <v>19</v>
      </c>
      <c r="F34" s="3" t="str">
        <f t="shared" si="1"/>
        <v>10011</v>
      </c>
      <c r="G34" s="3">
        <f t="shared" ref="G34:K34" si="24">MID($F34, COLUMN(G20)-COLUMN($G20) + 1, 1) * G$13</f>
        <v>10000</v>
      </c>
      <c r="H34" s="3">
        <f t="shared" si="24"/>
        <v>0</v>
      </c>
      <c r="I34" s="3">
        <f t="shared" si="24"/>
        <v>0</v>
      </c>
      <c r="J34" s="3">
        <f t="shared" si="24"/>
        <v>1000</v>
      </c>
      <c r="K34" s="3">
        <f t="shared" si="24"/>
        <v>470</v>
      </c>
      <c r="L34" s="5">
        <f t="shared" si="3"/>
        <v>309.82201713909035</v>
      </c>
      <c r="M34" s="4">
        <f t="shared" si="7"/>
        <v>1.9949423917361939</v>
      </c>
      <c r="N34" s="2"/>
      <c r="P34" s="3">
        <v>25</v>
      </c>
      <c r="Q34" s="3" t="s">
        <v>43</v>
      </c>
      <c r="R34" s="3">
        <v>10000</v>
      </c>
      <c r="S34" s="3">
        <v>4700</v>
      </c>
      <c r="T34" s="3">
        <v>0</v>
      </c>
      <c r="U34" s="3">
        <v>0</v>
      </c>
      <c r="V34" s="3">
        <v>470</v>
      </c>
      <c r="W34" s="5">
        <v>409.7646033129904</v>
      </c>
      <c r="X34" s="4">
        <v>1.7683139264089427</v>
      </c>
      <c r="Y34" s="8">
        <f>(MIN(ABS(X34-X33),ABS(X35-X34)) * 0.8) / 2</f>
        <v>1.3801761039767513E-2</v>
      </c>
      <c r="AA34" s="2"/>
      <c r="AB34" t="str">
        <f t="shared" si="5"/>
        <v>_ALL_POWER_CARDS.append(PowerCard(25, 1.768, 0.014))</v>
      </c>
    </row>
    <row r="35" spans="2:28" x14ac:dyDescent="0.35">
      <c r="D35" s="3">
        <v>20</v>
      </c>
      <c r="E35" s="3">
        <v>20</v>
      </c>
      <c r="F35" s="3" t="str">
        <f t="shared" si="1"/>
        <v>10100</v>
      </c>
      <c r="G35" s="3">
        <f t="shared" ref="G35:K35" si="25">MID($F35, COLUMN(G21)-COLUMN($G21) + 1, 1) * G$13</f>
        <v>10000</v>
      </c>
      <c r="H35" s="3">
        <f t="shared" si="25"/>
        <v>0</v>
      </c>
      <c r="I35" s="3">
        <f t="shared" si="25"/>
        <v>2200</v>
      </c>
      <c r="J35" s="3">
        <f t="shared" si="25"/>
        <v>0</v>
      </c>
      <c r="K35" s="3">
        <f t="shared" si="25"/>
        <v>0</v>
      </c>
      <c r="L35" s="5">
        <f t="shared" si="3"/>
        <v>1803.2786885245901</v>
      </c>
      <c r="M35" s="4">
        <f t="shared" si="7"/>
        <v>0.6843419629335834</v>
      </c>
      <c r="N35" s="2"/>
      <c r="P35" s="3">
        <v>5</v>
      </c>
      <c r="Q35" s="3" t="s">
        <v>23</v>
      </c>
      <c r="R35" s="3">
        <v>0</v>
      </c>
      <c r="S35" s="3">
        <v>0</v>
      </c>
      <c r="T35" s="3">
        <v>2200</v>
      </c>
      <c r="U35" s="3">
        <v>0</v>
      </c>
      <c r="V35" s="3">
        <v>470</v>
      </c>
      <c r="W35" s="5">
        <v>387.26591760299624</v>
      </c>
      <c r="X35" s="4">
        <v>1.8147227926078029</v>
      </c>
      <c r="Y35" s="8">
        <f>(MIN(ABS(X35-X34),ABS(X36-X35)) * 0.8) / 2</f>
        <v>1.2435087726251926E-2</v>
      </c>
      <c r="AA35" s="2"/>
      <c r="AB35" t="str">
        <f t="shared" si="5"/>
        <v>_ALL_POWER_CARDS.append(PowerCard(5, 1.815, 0.012))</v>
      </c>
    </row>
    <row r="36" spans="2:28" x14ac:dyDescent="0.35">
      <c r="D36" s="3">
        <v>21</v>
      </c>
      <c r="E36" s="3">
        <v>21</v>
      </c>
      <c r="F36" s="3" t="str">
        <f t="shared" si="1"/>
        <v>10101</v>
      </c>
      <c r="G36" s="3">
        <f t="shared" ref="G36:K36" si="26">MID($F36, COLUMN(G22)-COLUMN($G22) + 1, 1) * G$13</f>
        <v>10000</v>
      </c>
      <c r="H36" s="3">
        <f t="shared" si="26"/>
        <v>0</v>
      </c>
      <c r="I36" s="3">
        <f t="shared" si="26"/>
        <v>2200</v>
      </c>
      <c r="J36" s="3">
        <f t="shared" si="26"/>
        <v>0</v>
      </c>
      <c r="K36" s="3">
        <f t="shared" si="26"/>
        <v>470</v>
      </c>
      <c r="L36" s="5">
        <f t="shared" si="3"/>
        <v>372.82757626018605</v>
      </c>
      <c r="M36" s="4">
        <f t="shared" si="7"/>
        <v>1.8458105119234327</v>
      </c>
      <c r="N36" s="2"/>
      <c r="P36" s="3">
        <v>21</v>
      </c>
      <c r="Q36" s="3" t="s">
        <v>39</v>
      </c>
      <c r="R36" s="3">
        <v>10000</v>
      </c>
      <c r="S36" s="3">
        <v>0</v>
      </c>
      <c r="T36" s="3">
        <v>2200</v>
      </c>
      <c r="U36" s="3">
        <v>0</v>
      </c>
      <c r="V36" s="3">
        <v>470</v>
      </c>
      <c r="W36" s="5">
        <v>372.82757626018605</v>
      </c>
      <c r="X36" s="4">
        <v>1.8458105119234327</v>
      </c>
      <c r="Y36" s="8">
        <f>(MIN(ABS(X36-X35),ABS(X37-X36)) * 0.8) / 2</f>
        <v>1.2435087726251926E-2</v>
      </c>
      <c r="AA36" s="2"/>
      <c r="AB36" t="str">
        <f t="shared" si="5"/>
        <v>_ALL_POWER_CARDS.append(PowerCard(21, 1.846, 0.012))</v>
      </c>
    </row>
    <row r="37" spans="2:28" x14ac:dyDescent="0.35">
      <c r="D37" s="3">
        <v>22</v>
      </c>
      <c r="E37" s="3">
        <v>22</v>
      </c>
      <c r="F37" s="3" t="str">
        <f t="shared" si="1"/>
        <v>10110</v>
      </c>
      <c r="G37" s="3">
        <f t="shared" ref="G37:K37" si="27">MID($F37, COLUMN(G23)-COLUMN($G23) + 1, 1) * G$13</f>
        <v>10000</v>
      </c>
      <c r="H37" s="3">
        <f t="shared" si="27"/>
        <v>0</v>
      </c>
      <c r="I37" s="3">
        <f t="shared" si="27"/>
        <v>2200</v>
      </c>
      <c r="J37" s="3">
        <f t="shared" si="27"/>
        <v>1000</v>
      </c>
      <c r="K37" s="3">
        <f t="shared" si="27"/>
        <v>0</v>
      </c>
      <c r="L37" s="5">
        <f t="shared" si="3"/>
        <v>643.27485380116957</v>
      </c>
      <c r="M37" s="4">
        <f t="shared" si="7"/>
        <v>1.3974087303671798</v>
      </c>
      <c r="N37" s="2"/>
      <c r="P37" s="3">
        <v>13</v>
      </c>
      <c r="Q37" s="3" t="s">
        <v>31</v>
      </c>
      <c r="R37" s="3">
        <v>0</v>
      </c>
      <c r="S37" s="3">
        <v>4700</v>
      </c>
      <c r="T37" s="3">
        <v>2200</v>
      </c>
      <c r="U37" s="3">
        <v>0</v>
      </c>
      <c r="V37" s="3">
        <v>470</v>
      </c>
      <c r="W37" s="5">
        <v>357.78546712802768</v>
      </c>
      <c r="X37" s="4">
        <v>1.8793516699410608</v>
      </c>
      <c r="Y37" s="8">
        <f>(MIN(ABS(X37-X36),ABS(X38-X37)) * 0.8) / 2</f>
        <v>1.1393617847891148E-2</v>
      </c>
      <c r="AA37" s="2"/>
      <c r="AB37" t="str">
        <f t="shared" si="5"/>
        <v>_ALL_POWER_CARDS.append(PowerCard(13, 1.879, 0.011))</v>
      </c>
    </row>
    <row r="38" spans="2:28" x14ac:dyDescent="0.35">
      <c r="B38" s="3"/>
      <c r="C38" s="3"/>
      <c r="D38" s="3">
        <v>23</v>
      </c>
      <c r="E38" s="3">
        <v>23</v>
      </c>
      <c r="F38" s="3" t="str">
        <f t="shared" si="1"/>
        <v>10111</v>
      </c>
      <c r="G38" s="3">
        <f t="shared" ref="G38:K38" si="28">MID($F38, COLUMN(G24)-COLUMN($G24) + 1, 1) * G$13</f>
        <v>10000</v>
      </c>
      <c r="H38" s="3">
        <f t="shared" si="28"/>
        <v>0</v>
      </c>
      <c r="I38" s="3">
        <f t="shared" si="28"/>
        <v>2200</v>
      </c>
      <c r="J38" s="3">
        <f t="shared" si="28"/>
        <v>1000</v>
      </c>
      <c r="K38" s="3">
        <f t="shared" si="28"/>
        <v>470</v>
      </c>
      <c r="L38" s="5">
        <f t="shared" si="3"/>
        <v>271.57640384514366</v>
      </c>
      <c r="M38" s="4">
        <f t="shared" si="7"/>
        <v>2.0978283450411159</v>
      </c>
      <c r="N38" s="2"/>
      <c r="P38" s="3">
        <v>29</v>
      </c>
      <c r="Q38" s="3" t="s">
        <v>47</v>
      </c>
      <c r="R38" s="3">
        <v>10000</v>
      </c>
      <c r="S38" s="3">
        <v>4700</v>
      </c>
      <c r="T38" s="3">
        <v>2200</v>
      </c>
      <c r="U38" s="3">
        <v>0</v>
      </c>
      <c r="V38" s="3">
        <v>470</v>
      </c>
      <c r="W38" s="5">
        <v>345.42660519810244</v>
      </c>
      <c r="X38" s="4">
        <v>1.9078357145607887</v>
      </c>
      <c r="Y38" s="8">
        <f>(MIN(ABS(X38-X37),ABS(X39-X38)) * 0.8) / 2</f>
        <v>1.1393617847891148E-2</v>
      </c>
      <c r="AA38" s="2"/>
      <c r="AB38" t="str">
        <f t="shared" si="5"/>
        <v>_ALL_POWER_CARDS.append(PowerCard(29, 1.908, 0.011))</v>
      </c>
    </row>
    <row r="39" spans="2:28" x14ac:dyDescent="0.35">
      <c r="B39" s="3"/>
      <c r="C39" s="3"/>
      <c r="D39" s="3">
        <v>24</v>
      </c>
      <c r="E39" s="3">
        <v>24</v>
      </c>
      <c r="F39" s="3" t="str">
        <f t="shared" si="1"/>
        <v>11000</v>
      </c>
      <c r="G39" s="3">
        <f t="shared" ref="G39:K39" si="29">MID($F39, COLUMN(G25)-COLUMN($G25) + 1, 1) * G$13</f>
        <v>10000</v>
      </c>
      <c r="H39" s="3">
        <f t="shared" si="29"/>
        <v>4700</v>
      </c>
      <c r="I39" s="3">
        <f t="shared" si="29"/>
        <v>0</v>
      </c>
      <c r="J39" s="3">
        <f t="shared" si="29"/>
        <v>0</v>
      </c>
      <c r="K39" s="3">
        <f t="shared" si="29"/>
        <v>0</v>
      </c>
      <c r="L39" s="5">
        <f t="shared" si="3"/>
        <v>3197.2789115646256</v>
      </c>
      <c r="M39" s="4">
        <f t="shared" si="7"/>
        <v>0.42421098517872702</v>
      </c>
      <c r="N39" s="2"/>
      <c r="P39" s="3">
        <v>3</v>
      </c>
      <c r="Q39" s="3" t="s">
        <v>21</v>
      </c>
      <c r="R39" s="3">
        <v>0</v>
      </c>
      <c r="S39" s="3">
        <v>0</v>
      </c>
      <c r="T39" s="3">
        <v>0</v>
      </c>
      <c r="U39" s="3">
        <v>1000</v>
      </c>
      <c r="V39" s="3">
        <v>470</v>
      </c>
      <c r="W39" s="5">
        <v>319.72789115646259</v>
      </c>
      <c r="X39" s="4">
        <v>1.9699190283400811</v>
      </c>
      <c r="Y39" s="8">
        <f>(MIN(ABS(X39-X38),ABS(X40-X39)) * 0.8) / 2</f>
        <v>1.000934535844511E-2</v>
      </c>
      <c r="AA39" s="2"/>
      <c r="AB39" t="str">
        <f t="shared" si="5"/>
        <v>_ALL_POWER_CARDS.append(PowerCard(3, 1.97, 0.01))</v>
      </c>
    </row>
    <row r="40" spans="2:28" x14ac:dyDescent="0.35">
      <c r="D40" s="3">
        <v>25</v>
      </c>
      <c r="E40" s="3">
        <v>25</v>
      </c>
      <c r="F40" s="3" t="str">
        <f t="shared" si="1"/>
        <v>11001</v>
      </c>
      <c r="G40" s="3">
        <f t="shared" ref="G40:K40" si="30">MID($F40, COLUMN(G26)-COLUMN($G26) + 1, 1) * G$13</f>
        <v>10000</v>
      </c>
      <c r="H40" s="3">
        <f t="shared" si="30"/>
        <v>4700</v>
      </c>
      <c r="I40" s="3">
        <f t="shared" si="30"/>
        <v>0</v>
      </c>
      <c r="J40" s="3">
        <f t="shared" si="30"/>
        <v>0</v>
      </c>
      <c r="K40" s="3">
        <f t="shared" si="30"/>
        <v>470</v>
      </c>
      <c r="L40" s="5">
        <f t="shared" si="3"/>
        <v>409.7646033129904</v>
      </c>
      <c r="M40" s="4">
        <f t="shared" si="7"/>
        <v>1.7683139264089427</v>
      </c>
      <c r="N40" s="2"/>
      <c r="P40" s="3">
        <v>19</v>
      </c>
      <c r="Q40" s="3" t="s">
        <v>37</v>
      </c>
      <c r="R40" s="3">
        <v>10000</v>
      </c>
      <c r="S40" s="3">
        <v>0</v>
      </c>
      <c r="T40" s="3">
        <v>0</v>
      </c>
      <c r="U40" s="3">
        <v>1000</v>
      </c>
      <c r="V40" s="3">
        <v>470</v>
      </c>
      <c r="W40" s="5">
        <v>309.82201713909035</v>
      </c>
      <c r="X40" s="4">
        <v>1.9949423917361939</v>
      </c>
      <c r="Y40" s="8">
        <f>(MIN(ABS(X40-X39),ABS(X41-X40)) * 0.8) / 2</f>
        <v>1.000934535844511E-2</v>
      </c>
      <c r="AA40" s="2"/>
      <c r="AB40" t="str">
        <f t="shared" si="5"/>
        <v>_ALL_POWER_CARDS.append(PowerCard(19, 1.995, 0.01))</v>
      </c>
    </row>
    <row r="41" spans="2:28" x14ac:dyDescent="0.35">
      <c r="D41" s="3">
        <v>26</v>
      </c>
      <c r="E41" s="3">
        <v>26</v>
      </c>
      <c r="F41" s="3" t="str">
        <f t="shared" si="1"/>
        <v>11010</v>
      </c>
      <c r="G41" s="3">
        <f t="shared" ref="G41:K41" si="31">MID($F41, COLUMN(G27)-COLUMN($G27) + 1, 1) * G$13</f>
        <v>10000</v>
      </c>
      <c r="H41" s="3">
        <f t="shared" si="31"/>
        <v>4700</v>
      </c>
      <c r="I41" s="3">
        <f t="shared" si="31"/>
        <v>0</v>
      </c>
      <c r="J41" s="3">
        <f t="shared" si="31"/>
        <v>1000</v>
      </c>
      <c r="K41" s="3">
        <f t="shared" si="31"/>
        <v>0</v>
      </c>
      <c r="L41" s="5">
        <f t="shared" si="3"/>
        <v>761.75040518638571</v>
      </c>
      <c r="M41" s="4">
        <f t="shared" si="7"/>
        <v>1.2629993815708103</v>
      </c>
      <c r="N41" s="2"/>
      <c r="P41" s="3">
        <v>11</v>
      </c>
      <c r="Q41" s="3" t="s">
        <v>29</v>
      </c>
      <c r="R41" s="3">
        <v>0</v>
      </c>
      <c r="S41" s="3">
        <v>4700</v>
      </c>
      <c r="T41" s="3">
        <v>0</v>
      </c>
      <c r="U41" s="3">
        <v>1000</v>
      </c>
      <c r="V41" s="3">
        <v>470</v>
      </c>
      <c r="W41" s="5">
        <v>299.36305732484078</v>
      </c>
      <c r="X41" s="4">
        <v>2.0220622568093383</v>
      </c>
      <c r="Y41" s="8">
        <f>(MIN(ABS(X41-X40),ABS(X42-X41)) * 0.8) / 2</f>
        <v>9.252284895676156E-3</v>
      </c>
      <c r="AA41" s="2"/>
      <c r="AB41" t="str">
        <f t="shared" si="5"/>
        <v>_ALL_POWER_CARDS.append(PowerCard(11, 2.022, 0.009))</v>
      </c>
    </row>
    <row r="42" spans="2:28" x14ac:dyDescent="0.35">
      <c r="D42" s="3">
        <v>27</v>
      </c>
      <c r="E42" s="3">
        <v>27</v>
      </c>
      <c r="F42" s="3" t="str">
        <f t="shared" si="1"/>
        <v>11011</v>
      </c>
      <c r="G42" s="3">
        <f t="shared" ref="G42:K42" si="32">MID($F42, COLUMN(G28)-COLUMN($G28) + 1, 1) * G$13</f>
        <v>10000</v>
      </c>
      <c r="H42" s="3">
        <f t="shared" si="32"/>
        <v>4700</v>
      </c>
      <c r="I42" s="3">
        <f t="shared" si="32"/>
        <v>0</v>
      </c>
      <c r="J42" s="3">
        <f t="shared" si="32"/>
        <v>1000</v>
      </c>
      <c r="K42" s="3">
        <f t="shared" si="32"/>
        <v>470</v>
      </c>
      <c r="L42" s="5">
        <f t="shared" si="3"/>
        <v>290.66171923314778</v>
      </c>
      <c r="M42" s="4">
        <f t="shared" si="7"/>
        <v>2.0451929690485287</v>
      </c>
      <c r="N42" s="2"/>
      <c r="P42" s="3">
        <v>27</v>
      </c>
      <c r="Q42" s="3" t="s">
        <v>45</v>
      </c>
      <c r="R42" s="3">
        <v>10000</v>
      </c>
      <c r="S42" s="3">
        <v>4700</v>
      </c>
      <c r="T42" s="3">
        <v>0</v>
      </c>
      <c r="U42" s="3">
        <v>1000</v>
      </c>
      <c r="V42" s="3">
        <v>470</v>
      </c>
      <c r="W42" s="5">
        <v>290.66171923314778</v>
      </c>
      <c r="X42" s="4">
        <v>2.0451929690485287</v>
      </c>
      <c r="Y42" s="8">
        <f>(MIN(ABS(X42-X41),ABS(X43-X42)) * 0.8) / 2</f>
        <v>9.252284895676156E-3</v>
      </c>
      <c r="AA42" s="2"/>
      <c r="AB42" t="str">
        <f t="shared" si="5"/>
        <v>_ALL_POWER_CARDS.append(PowerCard(27, 2.045, 0.009))</v>
      </c>
    </row>
    <row r="43" spans="2:28" x14ac:dyDescent="0.35">
      <c r="D43" s="3">
        <v>28</v>
      </c>
      <c r="E43" s="3">
        <v>28</v>
      </c>
      <c r="F43" s="3" t="str">
        <f t="shared" si="1"/>
        <v>11100</v>
      </c>
      <c r="G43" s="3">
        <f t="shared" ref="G43:K43" si="33">MID($F43, COLUMN(G29)-COLUMN($G29) + 1, 1) * G$13</f>
        <v>10000</v>
      </c>
      <c r="H43" s="3">
        <f t="shared" si="33"/>
        <v>4700</v>
      </c>
      <c r="I43" s="3">
        <f t="shared" si="33"/>
        <v>2200</v>
      </c>
      <c r="J43" s="3">
        <f t="shared" si="33"/>
        <v>0</v>
      </c>
      <c r="K43" s="3">
        <f t="shared" si="33"/>
        <v>0</v>
      </c>
      <c r="L43" s="5">
        <f t="shared" si="3"/>
        <v>1303.2518275775144</v>
      </c>
      <c r="M43" s="4">
        <f t="shared" si="7"/>
        <v>0.87731475913676782</v>
      </c>
      <c r="N43" s="2"/>
      <c r="P43" s="3">
        <v>7</v>
      </c>
      <c r="Q43" s="3" t="s">
        <v>25</v>
      </c>
      <c r="R43" s="3">
        <v>0</v>
      </c>
      <c r="S43" s="3">
        <v>0</v>
      </c>
      <c r="T43" s="3">
        <v>2200</v>
      </c>
      <c r="U43" s="3">
        <v>1000</v>
      </c>
      <c r="V43" s="3">
        <v>470</v>
      </c>
      <c r="W43" s="5">
        <v>279.15766738660909</v>
      </c>
      <c r="X43" s="4">
        <v>2.0765989159891598</v>
      </c>
      <c r="Y43" s="8">
        <f>(MIN(ABS(X43-X42),ABS(X44-X43)) * 0.8) / 2</f>
        <v>8.4917716207824519E-3</v>
      </c>
      <c r="AA43" s="2"/>
      <c r="AB43" t="str">
        <f t="shared" si="5"/>
        <v>_ALL_POWER_CARDS.append(PowerCard(7, 2.077, 0.008))</v>
      </c>
    </row>
    <row r="44" spans="2:28" x14ac:dyDescent="0.35">
      <c r="D44" s="3">
        <v>29</v>
      </c>
      <c r="E44" s="3">
        <v>29</v>
      </c>
      <c r="F44" s="3" t="str">
        <f t="shared" si="1"/>
        <v>11101</v>
      </c>
      <c r="G44" s="3">
        <f t="shared" ref="G44:K44" si="34">MID($F44, COLUMN(G30)-COLUMN($G30) + 1, 1) * G$13</f>
        <v>10000</v>
      </c>
      <c r="H44" s="3">
        <f t="shared" si="34"/>
        <v>4700</v>
      </c>
      <c r="I44" s="3">
        <f t="shared" si="34"/>
        <v>2200</v>
      </c>
      <c r="J44" s="3">
        <f t="shared" si="34"/>
        <v>0</v>
      </c>
      <c r="K44" s="3">
        <f t="shared" si="34"/>
        <v>470</v>
      </c>
      <c r="L44" s="5">
        <f t="shared" si="3"/>
        <v>345.42660519810244</v>
      </c>
      <c r="M44" s="4">
        <f t="shared" si="7"/>
        <v>1.9078357145607887</v>
      </c>
      <c r="N44" s="2"/>
      <c r="P44" s="3">
        <v>23</v>
      </c>
      <c r="Q44" s="3" t="s">
        <v>41</v>
      </c>
      <c r="R44" s="3">
        <v>10000</v>
      </c>
      <c r="S44" s="3">
        <v>0</v>
      </c>
      <c r="T44" s="3">
        <v>2200</v>
      </c>
      <c r="U44" s="3">
        <v>1000</v>
      </c>
      <c r="V44" s="3">
        <v>470</v>
      </c>
      <c r="W44" s="5">
        <v>271.57640384514366</v>
      </c>
      <c r="X44" s="4">
        <v>2.0978283450411159</v>
      </c>
      <c r="Y44" s="8">
        <f>(MIN(ABS(X44-X43),ABS(X45-X44)) * 0.8) / 2</f>
        <v>8.4917716207824519E-3</v>
      </c>
      <c r="AA44" s="2"/>
      <c r="AB44" t="str">
        <f t="shared" si="5"/>
        <v>_ALL_POWER_CARDS.append(PowerCard(23, 2.098, 0.008))</v>
      </c>
    </row>
    <row r="45" spans="2:28" x14ac:dyDescent="0.35">
      <c r="D45" s="3">
        <v>30</v>
      </c>
      <c r="E45" s="3">
        <v>30</v>
      </c>
      <c r="F45" s="3" t="str">
        <f t="shared" si="1"/>
        <v>11110</v>
      </c>
      <c r="G45" s="3">
        <f t="shared" ref="G45:K45" si="35">MID($F45, COLUMN(G31)-COLUMN($G31) + 1, 1) * G$13</f>
        <v>10000</v>
      </c>
      <c r="H45" s="3">
        <f t="shared" si="35"/>
        <v>4700</v>
      </c>
      <c r="I45" s="3">
        <f t="shared" si="35"/>
        <v>2200</v>
      </c>
      <c r="J45" s="3">
        <f t="shared" si="35"/>
        <v>1000</v>
      </c>
      <c r="K45" s="3">
        <f t="shared" si="35"/>
        <v>0</v>
      </c>
      <c r="L45" s="5">
        <f t="shared" si="3"/>
        <v>565.83123563532888</v>
      </c>
      <c r="M45" s="4">
        <f t="shared" si="7"/>
        <v>1.5018855837513039</v>
      </c>
      <c r="N45" s="2"/>
      <c r="P45" s="3">
        <v>15</v>
      </c>
      <c r="Q45" s="3" t="s">
        <v>33</v>
      </c>
      <c r="R45" s="3">
        <v>0</v>
      </c>
      <c r="S45" s="3">
        <v>4700</v>
      </c>
      <c r="T45" s="3">
        <v>2200</v>
      </c>
      <c r="U45" s="3">
        <v>1000</v>
      </c>
      <c r="V45" s="3">
        <v>470</v>
      </c>
      <c r="W45" s="5">
        <v>263.50662589194701</v>
      </c>
      <c r="X45" s="4">
        <v>2.120907903331156</v>
      </c>
      <c r="Y45" s="8">
        <f>(MIN(ABS(X45-X44),ABS(X46-X45)) * 0.8) / 2</f>
        <v>7.8974931943063716E-3</v>
      </c>
      <c r="AA45" s="2"/>
      <c r="AB45" t="str">
        <f t="shared" si="5"/>
        <v>_ALL_POWER_CARDS.append(PowerCard(15, 2.121, 0.008))</v>
      </c>
    </row>
    <row r="46" spans="2:28" x14ac:dyDescent="0.35">
      <c r="D46" s="3">
        <v>31</v>
      </c>
      <c r="E46" s="3">
        <v>31</v>
      </c>
      <c r="F46" s="3" t="str">
        <f t="shared" si="1"/>
        <v>11111</v>
      </c>
      <c r="G46" s="3">
        <f t="shared" ref="G46:K46" si="36">MID($F46, COLUMN(G32)-COLUMN($G32) + 1, 1) * G$13</f>
        <v>10000</v>
      </c>
      <c r="H46" s="3">
        <f t="shared" si="36"/>
        <v>4700</v>
      </c>
      <c r="I46" s="3">
        <f t="shared" si="36"/>
        <v>2200</v>
      </c>
      <c r="J46" s="3">
        <f t="shared" si="36"/>
        <v>1000</v>
      </c>
      <c r="K46" s="3">
        <f t="shared" si="36"/>
        <v>470</v>
      </c>
      <c r="L46" s="5">
        <f t="shared" si="3"/>
        <v>256.74132194467893</v>
      </c>
      <c r="M46" s="4">
        <f t="shared" si="7"/>
        <v>2.1406516363169219</v>
      </c>
      <c r="N46" s="2"/>
      <c r="P46" s="3">
        <v>31</v>
      </c>
      <c r="Q46" s="3" t="s">
        <v>49</v>
      </c>
      <c r="R46" s="3">
        <v>10000</v>
      </c>
      <c r="S46" s="3">
        <v>4700</v>
      </c>
      <c r="T46" s="3">
        <v>2200</v>
      </c>
      <c r="U46" s="3">
        <v>1000</v>
      </c>
      <c r="V46" s="3">
        <v>470</v>
      </c>
      <c r="W46" s="5">
        <v>256.74132194467893</v>
      </c>
      <c r="X46" s="4">
        <v>2.1406516363169219</v>
      </c>
      <c r="Y46" s="8">
        <f>(MIN(ABS(X46-X45),ABS(X47-X46)) * 0.8) / 2</f>
        <v>7.8974931943063716E-3</v>
      </c>
      <c r="AA46" s="2"/>
      <c r="AB46" t="str">
        <f t="shared" si="5"/>
        <v>_ALL_POWER_CARDS.append(PowerCard(31, 2.141, 0.008))</v>
      </c>
    </row>
    <row r="49" spans="4:29" x14ac:dyDescent="0.35">
      <c r="G49" s="3">
        <v>10000</v>
      </c>
      <c r="H49" s="3">
        <v>4700</v>
      </c>
      <c r="I49" s="3">
        <v>2200</v>
      </c>
      <c r="J49" s="3">
        <v>1000</v>
      </c>
      <c r="K49" s="3">
        <v>470</v>
      </c>
      <c r="L49" s="10" t="s">
        <v>53</v>
      </c>
      <c r="M49" s="10"/>
      <c r="N49" s="10"/>
    </row>
    <row r="50" spans="4:29" x14ac:dyDescent="0.35">
      <c r="E50" s="3" t="s">
        <v>15</v>
      </c>
      <c r="F50" s="3" t="s">
        <v>17</v>
      </c>
      <c r="G50" s="3" t="s">
        <v>2</v>
      </c>
      <c r="H50" s="3" t="s">
        <v>3</v>
      </c>
      <c r="I50" s="3" t="s">
        <v>4</v>
      </c>
      <c r="J50" s="3" t="s">
        <v>5</v>
      </c>
      <c r="K50" s="3" t="s">
        <v>6</v>
      </c>
      <c r="L50" s="9" t="s">
        <v>7</v>
      </c>
      <c r="M50" s="4" t="s">
        <v>16</v>
      </c>
      <c r="N50" s="3"/>
      <c r="P50" s="3" t="s">
        <v>15</v>
      </c>
      <c r="Q50" s="3" t="s">
        <v>17</v>
      </c>
      <c r="R50" s="3" t="s">
        <v>2</v>
      </c>
      <c r="S50" s="3" t="s">
        <v>3</v>
      </c>
      <c r="T50" s="3" t="s">
        <v>4</v>
      </c>
      <c r="U50" s="3" t="s">
        <v>5</v>
      </c>
      <c r="V50" s="3" t="s">
        <v>6</v>
      </c>
      <c r="W50" s="9" t="s">
        <v>7</v>
      </c>
      <c r="X50" s="4" t="s">
        <v>16</v>
      </c>
      <c r="Y50" s="3" t="s">
        <v>51</v>
      </c>
    </row>
    <row r="51" spans="4:29" x14ac:dyDescent="0.35">
      <c r="D51" s="3">
        <v>0</v>
      </c>
      <c r="E51" s="3">
        <v>0</v>
      </c>
      <c r="F51" s="3" t="str">
        <f t="shared" ref="F51:F82" si="37">DEC2BIN(E51, 5)</f>
        <v>00000</v>
      </c>
      <c r="G51" s="3">
        <f>MID($F51, COLUMN(G37)-COLUMN($G37) + 1, 1) * G$13</f>
        <v>0</v>
      </c>
      <c r="H51" s="3">
        <f t="shared" ref="H51:K51" si="38">MID($F51, COLUMN(H37)-COLUMN($G37) + 1, 1) * H$13</f>
        <v>0</v>
      </c>
      <c r="I51" s="3">
        <f t="shared" si="38"/>
        <v>0</v>
      </c>
      <c r="J51" s="3">
        <f t="shared" si="38"/>
        <v>0</v>
      </c>
      <c r="K51" s="3">
        <f t="shared" si="38"/>
        <v>0</v>
      </c>
      <c r="L51" s="9">
        <f t="shared" ref="L51:L82" si="39">IF(G51+H51+I51+J51+K51 &lt;= 0, 0, 1/(IF(G51 &gt; 0, 1/G51, 0)+IF(H51 &gt; 0, 1/H51, 0)+IF(I51 &gt; 0, 1/I51, 0)+IF(J51 &gt; 0, 1/J51, 0)+IF(K51 &gt; 0, 1/K51, 0)))</f>
        <v>0</v>
      </c>
      <c r="M51" s="4">
        <f>5-IF(L51 = 0, 5, L51/(L51+E$7)*5)</f>
        <v>0</v>
      </c>
      <c r="N51" s="2"/>
      <c r="P51" s="3">
        <v>0</v>
      </c>
      <c r="Q51" s="3" t="s">
        <v>18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9">
        <v>0</v>
      </c>
      <c r="X51" s="4">
        <v>0</v>
      </c>
      <c r="Y51" s="6"/>
      <c r="Z51" s="3" t="s">
        <v>51</v>
      </c>
      <c r="AA51" s="3" t="s">
        <v>52</v>
      </c>
    </row>
    <row r="52" spans="4:29" x14ac:dyDescent="0.35">
      <c r="D52" s="3">
        <v>1</v>
      </c>
      <c r="E52" s="3">
        <v>1</v>
      </c>
      <c r="F52" s="3" t="str">
        <f t="shared" si="37"/>
        <v>00001</v>
      </c>
      <c r="G52" s="3">
        <f t="shared" ref="G52:K52" si="40">MID($F52, COLUMN(G38)-COLUMN($G38) + 1, 1) * G$13</f>
        <v>0</v>
      </c>
      <c r="H52" s="3">
        <f t="shared" si="40"/>
        <v>0</v>
      </c>
      <c r="I52" s="3">
        <f t="shared" si="40"/>
        <v>0</v>
      </c>
      <c r="J52" s="3">
        <f t="shared" si="40"/>
        <v>0</v>
      </c>
      <c r="K52" s="3">
        <f t="shared" si="40"/>
        <v>470</v>
      </c>
      <c r="L52" s="9">
        <f>IF(G52+H52+I52+J52+K52 &lt;= 0, 0, 1/(IF(G52 &gt; 0, 1/G52, 0)+IF(H52 &gt; 0, 1/H52, 0)+IF(I52 &gt; 0, 1/I52, 0)+IF(J52 &gt; 0, 1/J52, 0)+IF(K52 &gt; 0, 1/K52, 0)))</f>
        <v>470</v>
      </c>
      <c r="M52" s="4">
        <f>$E$4-IF(L52 = 0, $E$4, L52/(L52+E$7)*$E$4)</f>
        <v>1.655</v>
      </c>
      <c r="N52" s="2"/>
      <c r="P52" s="3">
        <v>16</v>
      </c>
      <c r="Q52" s="3" t="s">
        <v>34</v>
      </c>
      <c r="R52" s="3">
        <v>10000</v>
      </c>
      <c r="S52" s="3">
        <v>0</v>
      </c>
      <c r="T52" s="3">
        <v>0</v>
      </c>
      <c r="U52" s="3">
        <v>0</v>
      </c>
      <c r="V52" s="3">
        <v>0</v>
      </c>
      <c r="W52" s="9">
        <v>10000</v>
      </c>
      <c r="X52" s="4">
        <v>0.14858643744030564</v>
      </c>
      <c r="Y52" s="8">
        <f t="shared" ref="Y52:Y82" si="41">(MIN(ABS(X52-X51),ABS(X53-X52)) * 0.8) / 2</f>
        <v>5.9434574976122256E-2</v>
      </c>
      <c r="Z52" s="7"/>
      <c r="AA52" s="5"/>
      <c r="AC52">
        <v>30</v>
      </c>
    </row>
    <row r="53" spans="4:29" x14ac:dyDescent="0.35">
      <c r="D53" s="3">
        <v>2</v>
      </c>
      <c r="E53" s="3">
        <v>2</v>
      </c>
      <c r="F53" s="3" t="str">
        <f t="shared" si="37"/>
        <v>00010</v>
      </c>
      <c r="G53" s="3">
        <f t="shared" ref="G53:K53" si="42">MID($F53, COLUMN(G39)-COLUMN($G39) + 1, 1) * G$13</f>
        <v>0</v>
      </c>
      <c r="H53" s="3">
        <f t="shared" si="42"/>
        <v>0</v>
      </c>
      <c r="I53" s="3">
        <f t="shared" si="42"/>
        <v>0</v>
      </c>
      <c r="J53" s="3">
        <f t="shared" si="42"/>
        <v>1000</v>
      </c>
      <c r="K53" s="3">
        <f t="shared" si="42"/>
        <v>0</v>
      </c>
      <c r="L53" s="9">
        <f t="shared" si="39"/>
        <v>1000</v>
      </c>
      <c r="M53" s="4">
        <f t="shared" ref="M53:M82" si="43">$E$4-IF(L53 = 0, $E$4, L53/(L53+E$7)*$E$4)</f>
        <v>1.0582993197278912</v>
      </c>
      <c r="N53" s="2"/>
      <c r="P53" s="3">
        <v>8</v>
      </c>
      <c r="Q53" s="3" t="s">
        <v>26</v>
      </c>
      <c r="R53" s="3">
        <v>0</v>
      </c>
      <c r="S53" s="3">
        <v>4700</v>
      </c>
      <c r="T53" s="3">
        <v>0</v>
      </c>
      <c r="U53" s="3">
        <v>0</v>
      </c>
      <c r="V53" s="3">
        <v>0</v>
      </c>
      <c r="W53" s="9">
        <v>4700</v>
      </c>
      <c r="X53" s="4">
        <v>0.30090909090909079</v>
      </c>
      <c r="Y53" s="8">
        <f t="shared" si="41"/>
        <v>4.932075770785449E-2</v>
      </c>
      <c r="Z53" s="7"/>
      <c r="AA53" s="5">
        <v>0</v>
      </c>
      <c r="AC53">
        <v>26</v>
      </c>
    </row>
    <row r="54" spans="4:29" x14ac:dyDescent="0.35">
      <c r="D54" s="3">
        <v>3</v>
      </c>
      <c r="E54" s="3">
        <v>3</v>
      </c>
      <c r="F54" s="3" t="str">
        <f t="shared" si="37"/>
        <v>00011</v>
      </c>
      <c r="G54" s="3">
        <f t="shared" ref="G54:K54" si="44">MID($F54, COLUMN(G40)-COLUMN($G40) + 1, 1) * G$13</f>
        <v>0</v>
      </c>
      <c r="H54" s="3">
        <f t="shared" si="44"/>
        <v>0</v>
      </c>
      <c r="I54" s="3">
        <f t="shared" si="44"/>
        <v>0</v>
      </c>
      <c r="J54" s="3">
        <f t="shared" si="44"/>
        <v>1000</v>
      </c>
      <c r="K54" s="3">
        <f t="shared" si="44"/>
        <v>470</v>
      </c>
      <c r="L54" s="9">
        <f t="shared" si="39"/>
        <v>319.72789115646259</v>
      </c>
      <c r="M54" s="4">
        <f t="shared" si="43"/>
        <v>1.9699190283400811</v>
      </c>
      <c r="N54" s="2"/>
      <c r="P54" s="3">
        <v>24</v>
      </c>
      <c r="Q54" s="3" t="s">
        <v>42</v>
      </c>
      <c r="R54" s="3">
        <v>10000</v>
      </c>
      <c r="S54" s="3">
        <v>4700</v>
      </c>
      <c r="T54" s="3">
        <v>0</v>
      </c>
      <c r="U54" s="3">
        <v>0</v>
      </c>
      <c r="V54" s="3">
        <v>0</v>
      </c>
      <c r="W54" s="9">
        <v>3197.2789115646256</v>
      </c>
      <c r="X54" s="4">
        <v>0.42421098517872702</v>
      </c>
      <c r="Y54" s="8">
        <f t="shared" si="41"/>
        <v>4.932075770785449E-2</v>
      </c>
      <c r="Z54" s="7">
        <f>Y54-Y53</f>
        <v>0</v>
      </c>
      <c r="AA54" s="5">
        <v>0</v>
      </c>
      <c r="AC54">
        <v>29</v>
      </c>
    </row>
    <row r="55" spans="4:29" x14ac:dyDescent="0.35">
      <c r="D55" s="3">
        <v>4</v>
      </c>
      <c r="E55" s="3">
        <v>4</v>
      </c>
      <c r="F55" s="3" t="str">
        <f t="shared" si="37"/>
        <v>00100</v>
      </c>
      <c r="G55" s="3">
        <f t="shared" ref="G55:K55" si="45">MID($F55, COLUMN(G41)-COLUMN($G41) + 1, 1) * G$13</f>
        <v>0</v>
      </c>
      <c r="H55" s="3">
        <f t="shared" si="45"/>
        <v>0</v>
      </c>
      <c r="I55" s="3">
        <f t="shared" si="45"/>
        <v>2200</v>
      </c>
      <c r="J55" s="3">
        <f t="shared" si="45"/>
        <v>0</v>
      </c>
      <c r="K55" s="3">
        <f t="shared" si="45"/>
        <v>0</v>
      </c>
      <c r="L55" s="9">
        <f t="shared" si="39"/>
        <v>2200</v>
      </c>
      <c r="M55" s="4">
        <f t="shared" si="43"/>
        <v>0.58265917602996264</v>
      </c>
      <c r="N55" s="2"/>
      <c r="P55" s="3">
        <v>4</v>
      </c>
      <c r="Q55" s="3" t="s">
        <v>22</v>
      </c>
      <c r="R55" s="3">
        <v>0</v>
      </c>
      <c r="S55" s="3">
        <v>0</v>
      </c>
      <c r="T55" s="3">
        <v>2200</v>
      </c>
      <c r="U55" s="3">
        <v>0</v>
      </c>
      <c r="V55" s="3">
        <v>0</v>
      </c>
      <c r="W55" s="9">
        <v>2200</v>
      </c>
      <c r="X55" s="4">
        <v>0.58265917602996264</v>
      </c>
      <c r="Y55" s="8">
        <f t="shared" si="41"/>
        <v>4.0673114761448304E-2</v>
      </c>
      <c r="Z55" s="7">
        <f t="shared" ref="Z55:Z83" si="46">Y55-Y54</f>
        <v>-8.6476429464061866E-3</v>
      </c>
      <c r="AA55" s="5">
        <v>0</v>
      </c>
      <c r="AC55">
        <v>20</v>
      </c>
    </row>
    <row r="56" spans="4:29" x14ac:dyDescent="0.35">
      <c r="D56" s="3">
        <v>5</v>
      </c>
      <c r="E56" s="3">
        <v>5</v>
      </c>
      <c r="F56" s="3" t="str">
        <f t="shared" si="37"/>
        <v>00101</v>
      </c>
      <c r="G56" s="3">
        <f t="shared" ref="G56:K56" si="47">MID($F56, COLUMN(G42)-COLUMN($G42) + 1, 1) * G$13</f>
        <v>0</v>
      </c>
      <c r="H56" s="3">
        <f t="shared" si="47"/>
        <v>0</v>
      </c>
      <c r="I56" s="3">
        <f t="shared" si="47"/>
        <v>2200</v>
      </c>
      <c r="J56" s="3">
        <f t="shared" si="47"/>
        <v>0</v>
      </c>
      <c r="K56" s="3">
        <f t="shared" si="47"/>
        <v>470</v>
      </c>
      <c r="L56" s="9">
        <f t="shared" si="39"/>
        <v>387.26591760299624</v>
      </c>
      <c r="M56" s="4">
        <f t="shared" si="43"/>
        <v>1.8147227926078029</v>
      </c>
      <c r="N56" s="2"/>
      <c r="P56" s="3">
        <v>20</v>
      </c>
      <c r="Q56" s="3" t="s">
        <v>38</v>
      </c>
      <c r="R56" s="3">
        <v>10000</v>
      </c>
      <c r="S56" s="3">
        <v>0</v>
      </c>
      <c r="T56" s="3">
        <v>2200</v>
      </c>
      <c r="U56" s="3">
        <v>0</v>
      </c>
      <c r="V56" s="3">
        <v>0</v>
      </c>
      <c r="W56" s="9">
        <v>1803.2786885245901</v>
      </c>
      <c r="X56" s="4">
        <v>0.6843419629335834</v>
      </c>
      <c r="Y56" s="8">
        <f t="shared" si="41"/>
        <v>4.0673114761448304E-2</v>
      </c>
      <c r="Z56" s="7">
        <f t="shared" si="46"/>
        <v>0</v>
      </c>
      <c r="AA56" s="5">
        <v>0</v>
      </c>
      <c r="AC56">
        <v>18</v>
      </c>
    </row>
    <row r="57" spans="4:29" x14ac:dyDescent="0.35">
      <c r="D57" s="3">
        <v>6</v>
      </c>
      <c r="E57" s="3">
        <v>6</v>
      </c>
      <c r="F57" s="3" t="str">
        <f t="shared" si="37"/>
        <v>00110</v>
      </c>
      <c r="G57" s="3">
        <f t="shared" ref="G57:K57" si="48">MID($F57, COLUMN(G43)-COLUMN($G43) + 1, 1) * G$13</f>
        <v>0</v>
      </c>
      <c r="H57" s="3">
        <f t="shared" si="48"/>
        <v>0</v>
      </c>
      <c r="I57" s="3">
        <f t="shared" si="48"/>
        <v>2200</v>
      </c>
      <c r="J57" s="3">
        <f t="shared" si="48"/>
        <v>1000</v>
      </c>
      <c r="K57" s="3">
        <f t="shared" si="48"/>
        <v>0</v>
      </c>
      <c r="L57" s="9">
        <f t="shared" si="39"/>
        <v>687.5</v>
      </c>
      <c r="M57" s="4">
        <f t="shared" si="43"/>
        <v>1.3440172786177105</v>
      </c>
      <c r="N57" s="2"/>
      <c r="P57" s="3">
        <v>12</v>
      </c>
      <c r="Q57" s="3" t="s">
        <v>30</v>
      </c>
      <c r="R57" s="3">
        <v>0</v>
      </c>
      <c r="S57" s="3">
        <v>4700</v>
      </c>
      <c r="T57" s="3">
        <v>2200</v>
      </c>
      <c r="U57" s="3">
        <v>0</v>
      </c>
      <c r="V57" s="3">
        <v>0</v>
      </c>
      <c r="W57" s="9">
        <v>1498.550724637681</v>
      </c>
      <c r="X57" s="4">
        <v>0.7902768166089964</v>
      </c>
      <c r="Y57" s="8">
        <f t="shared" si="41"/>
        <v>3.4815177011108568E-2</v>
      </c>
      <c r="Z57" s="7">
        <f t="shared" si="46"/>
        <v>-5.8579377503397353E-3</v>
      </c>
      <c r="AA57" s="5">
        <v>0</v>
      </c>
      <c r="AC57">
        <v>24</v>
      </c>
    </row>
    <row r="58" spans="4:29" x14ac:dyDescent="0.35">
      <c r="D58" s="3">
        <v>7</v>
      </c>
      <c r="E58" s="3">
        <v>7</v>
      </c>
      <c r="F58" s="3" t="str">
        <f t="shared" si="37"/>
        <v>00111</v>
      </c>
      <c r="G58" s="3">
        <f t="shared" ref="G58:K58" si="49">MID($F58, COLUMN(G44)-COLUMN($G44) + 1, 1) * G$13</f>
        <v>0</v>
      </c>
      <c r="H58" s="3">
        <f t="shared" si="49"/>
        <v>0</v>
      </c>
      <c r="I58" s="3">
        <f t="shared" si="49"/>
        <v>2200</v>
      </c>
      <c r="J58" s="3">
        <f t="shared" si="49"/>
        <v>1000</v>
      </c>
      <c r="K58" s="3">
        <f t="shared" si="49"/>
        <v>470</v>
      </c>
      <c r="L58" s="9">
        <f t="shared" si="39"/>
        <v>279.15766738660909</v>
      </c>
      <c r="M58" s="4">
        <f t="shared" si="43"/>
        <v>2.0765989159891598</v>
      </c>
      <c r="N58" s="2"/>
      <c r="P58" s="3">
        <v>28</v>
      </c>
      <c r="Q58" s="3" t="s">
        <v>46</v>
      </c>
      <c r="R58" s="3">
        <v>10000</v>
      </c>
      <c r="S58" s="3">
        <v>4700</v>
      </c>
      <c r="T58" s="3">
        <v>2200</v>
      </c>
      <c r="U58" s="3">
        <v>0</v>
      </c>
      <c r="V58" s="3">
        <v>0</v>
      </c>
      <c r="W58" s="9">
        <v>1303.2518275775144</v>
      </c>
      <c r="X58" s="4">
        <v>0.87731475913676782</v>
      </c>
      <c r="Y58" s="8">
        <f t="shared" si="41"/>
        <v>3.4815177011108568E-2</v>
      </c>
      <c r="Z58" s="7">
        <f t="shared" si="46"/>
        <v>0</v>
      </c>
      <c r="AA58" s="5"/>
      <c r="AC58">
        <v>22</v>
      </c>
    </row>
    <row r="59" spans="4:29" x14ac:dyDescent="0.35">
      <c r="D59" s="3">
        <v>8</v>
      </c>
      <c r="E59" s="3">
        <v>8</v>
      </c>
      <c r="F59" s="3" t="str">
        <f t="shared" si="37"/>
        <v>01000</v>
      </c>
      <c r="G59" s="3">
        <f t="shared" ref="G59:K59" si="50">MID($F59, COLUMN(G45)-COLUMN($G45) + 1, 1) * G$13</f>
        <v>0</v>
      </c>
      <c r="H59" s="3">
        <f t="shared" si="50"/>
        <v>4700</v>
      </c>
      <c r="I59" s="3">
        <f t="shared" si="50"/>
        <v>0</v>
      </c>
      <c r="J59" s="3">
        <f t="shared" si="50"/>
        <v>0</v>
      </c>
      <c r="K59" s="3">
        <f t="shared" si="50"/>
        <v>0</v>
      </c>
      <c r="L59" s="9">
        <f t="shared" si="39"/>
        <v>4700</v>
      </c>
      <c r="M59" s="4">
        <f t="shared" si="43"/>
        <v>0.30090909090909079</v>
      </c>
      <c r="N59" s="2"/>
      <c r="P59" s="3">
        <v>2</v>
      </c>
      <c r="Q59" s="3" t="s">
        <v>20</v>
      </c>
      <c r="R59" s="3">
        <v>0</v>
      </c>
      <c r="S59" s="3">
        <v>0</v>
      </c>
      <c r="T59" s="3">
        <v>0</v>
      </c>
      <c r="U59" s="3">
        <v>1000</v>
      </c>
      <c r="V59" s="3">
        <v>0</v>
      </c>
      <c r="W59" s="9">
        <v>1000</v>
      </c>
      <c r="X59" s="4">
        <v>1.0582993197278912</v>
      </c>
      <c r="Y59" s="8">
        <f t="shared" si="41"/>
        <v>2.7905057870214734E-2</v>
      </c>
      <c r="Z59" s="7">
        <f t="shared" si="46"/>
        <v>-6.9101191408938341E-3</v>
      </c>
      <c r="AA59" s="5">
        <v>0</v>
      </c>
    </row>
    <row r="60" spans="4:29" x14ac:dyDescent="0.35">
      <c r="D60" s="3">
        <v>9</v>
      </c>
      <c r="E60" s="3">
        <v>9</v>
      </c>
      <c r="F60" s="3" t="str">
        <f t="shared" si="37"/>
        <v>01001</v>
      </c>
      <c r="G60" s="3">
        <f t="shared" ref="G60:K60" si="51">MID($F60, COLUMN(G46)-COLUMN($G46) + 1, 1) * G$13</f>
        <v>0</v>
      </c>
      <c r="H60" s="3">
        <f t="shared" si="51"/>
        <v>4700</v>
      </c>
      <c r="I60" s="3">
        <f t="shared" si="51"/>
        <v>0</v>
      </c>
      <c r="J60" s="3">
        <f t="shared" si="51"/>
        <v>0</v>
      </c>
      <c r="K60" s="3">
        <f t="shared" si="51"/>
        <v>470</v>
      </c>
      <c r="L60" s="9">
        <f t="shared" si="39"/>
        <v>427.27272727272725</v>
      </c>
      <c r="M60" s="4">
        <f t="shared" si="43"/>
        <v>1.7338095238095239</v>
      </c>
      <c r="N60" s="2"/>
      <c r="P60" s="3">
        <v>18</v>
      </c>
      <c r="Q60" s="3" t="s">
        <v>36</v>
      </c>
      <c r="R60" s="3">
        <v>10000</v>
      </c>
      <c r="S60" s="3">
        <v>0</v>
      </c>
      <c r="T60" s="3">
        <v>0</v>
      </c>
      <c r="U60" s="3">
        <v>1000</v>
      </c>
      <c r="V60" s="3">
        <v>0</v>
      </c>
      <c r="W60" s="9">
        <v>909.09090909090901</v>
      </c>
      <c r="X60" s="4">
        <v>1.128061964403428</v>
      </c>
      <c r="Y60" s="8">
        <f t="shared" si="41"/>
        <v>2.7905057870214734E-2</v>
      </c>
      <c r="Z60" s="7">
        <f t="shared" si="46"/>
        <v>0</v>
      </c>
      <c r="AA60" s="5"/>
    </row>
    <row r="61" spans="4:29" x14ac:dyDescent="0.35">
      <c r="D61" s="3">
        <v>10</v>
      </c>
      <c r="E61" s="3">
        <v>10</v>
      </c>
      <c r="F61" s="3" t="str">
        <f t="shared" si="37"/>
        <v>01010</v>
      </c>
      <c r="G61" s="3">
        <f t="shared" ref="G61:K61" si="52">MID($F61, COLUMN(G47)-COLUMN($G47) + 1, 1) * G$13</f>
        <v>0</v>
      </c>
      <c r="H61" s="3">
        <f t="shared" si="52"/>
        <v>4700</v>
      </c>
      <c r="I61" s="3">
        <f t="shared" si="52"/>
        <v>0</v>
      </c>
      <c r="J61" s="3">
        <f t="shared" si="52"/>
        <v>1000</v>
      </c>
      <c r="K61" s="3">
        <f t="shared" si="52"/>
        <v>0</v>
      </c>
      <c r="L61" s="9">
        <f t="shared" si="39"/>
        <v>824.56140350877195</v>
      </c>
      <c r="M61" s="4">
        <f t="shared" si="43"/>
        <v>1.2017197452229302</v>
      </c>
      <c r="N61" s="2"/>
      <c r="P61" s="3">
        <v>10</v>
      </c>
      <c r="Q61" s="3" t="s">
        <v>28</v>
      </c>
      <c r="R61" s="3">
        <v>0</v>
      </c>
      <c r="S61" s="3">
        <v>4700</v>
      </c>
      <c r="T61" s="3">
        <v>0</v>
      </c>
      <c r="U61" s="3">
        <v>1000</v>
      </c>
      <c r="V61" s="3">
        <v>0</v>
      </c>
      <c r="W61" s="9">
        <v>824.56140350877195</v>
      </c>
      <c r="X61" s="4">
        <v>1.2017197452229302</v>
      </c>
      <c r="Y61" s="8">
        <f t="shared" si="41"/>
        <v>2.4511854539152014E-2</v>
      </c>
      <c r="Z61" s="7">
        <f t="shared" si="46"/>
        <v>-3.3932033310627198E-3</v>
      </c>
      <c r="AA61" s="5">
        <v>19.266677432088159</v>
      </c>
    </row>
    <row r="62" spans="4:29" x14ac:dyDescent="0.35">
      <c r="D62" s="3">
        <v>11</v>
      </c>
      <c r="E62" s="3">
        <v>11</v>
      </c>
      <c r="F62" s="3" t="str">
        <f t="shared" si="37"/>
        <v>01011</v>
      </c>
      <c r="G62" s="3">
        <f t="shared" ref="G62:K62" si="53">MID($F62, COLUMN(G48)-COLUMN($G48) + 1, 1) * G$13</f>
        <v>0</v>
      </c>
      <c r="H62" s="3">
        <f t="shared" si="53"/>
        <v>4700</v>
      </c>
      <c r="I62" s="3">
        <f t="shared" si="53"/>
        <v>0</v>
      </c>
      <c r="J62" s="3">
        <f t="shared" si="53"/>
        <v>1000</v>
      </c>
      <c r="K62" s="3">
        <f t="shared" si="53"/>
        <v>470</v>
      </c>
      <c r="L62" s="9">
        <f t="shared" si="39"/>
        <v>299.36305732484078</v>
      </c>
      <c r="M62" s="4">
        <f t="shared" si="43"/>
        <v>2.0220622568093383</v>
      </c>
      <c r="N62" s="2"/>
      <c r="P62" s="3">
        <v>26</v>
      </c>
      <c r="Q62" s="3" t="s">
        <v>44</v>
      </c>
      <c r="R62" s="3">
        <v>10000</v>
      </c>
      <c r="S62" s="3">
        <v>4700</v>
      </c>
      <c r="T62" s="3">
        <v>0</v>
      </c>
      <c r="U62" s="3">
        <v>1000</v>
      </c>
      <c r="V62" s="3">
        <v>0</v>
      </c>
      <c r="W62" s="9">
        <v>761.75040518638571</v>
      </c>
      <c r="X62" s="4">
        <v>1.2629993815708103</v>
      </c>
      <c r="Y62" s="8">
        <f t="shared" si="41"/>
        <v>2.4511854539152014E-2</v>
      </c>
      <c r="Z62" s="7">
        <f t="shared" si="46"/>
        <v>0</v>
      </c>
      <c r="AA62" s="5">
        <v>10.262952613808295</v>
      </c>
    </row>
    <row r="63" spans="4:29" x14ac:dyDescent="0.35">
      <c r="D63" s="3">
        <v>12</v>
      </c>
      <c r="E63" s="3">
        <v>12</v>
      </c>
      <c r="F63" s="3" t="str">
        <f t="shared" si="37"/>
        <v>01100</v>
      </c>
      <c r="G63" s="3">
        <f t="shared" ref="G63:K63" si="54">MID($F63, COLUMN(G49)-COLUMN($G49) + 1, 1) * G$13</f>
        <v>0</v>
      </c>
      <c r="H63" s="3">
        <f t="shared" si="54"/>
        <v>4700</v>
      </c>
      <c r="I63" s="3">
        <f t="shared" si="54"/>
        <v>2200</v>
      </c>
      <c r="J63" s="3">
        <f t="shared" si="54"/>
        <v>0</v>
      </c>
      <c r="K63" s="3">
        <f t="shared" si="54"/>
        <v>0</v>
      </c>
      <c r="L63" s="9">
        <f t="shared" si="39"/>
        <v>1498.550724637681</v>
      </c>
      <c r="M63" s="4">
        <f t="shared" si="43"/>
        <v>0.7902768166089964</v>
      </c>
      <c r="N63" s="2"/>
      <c r="P63" s="3">
        <v>6</v>
      </c>
      <c r="Q63" s="3" t="s">
        <v>24</v>
      </c>
      <c r="R63" s="3">
        <v>0</v>
      </c>
      <c r="S63" s="3">
        <v>0</v>
      </c>
      <c r="T63" s="3">
        <v>2200</v>
      </c>
      <c r="U63" s="3">
        <v>1000</v>
      </c>
      <c r="V63" s="3">
        <v>0</v>
      </c>
      <c r="W63" s="9">
        <v>687.5</v>
      </c>
      <c r="X63" s="4">
        <v>1.3440172786177105</v>
      </c>
      <c r="Y63" s="8">
        <f t="shared" si="41"/>
        <v>2.1356580699787742E-2</v>
      </c>
      <c r="Z63" s="7">
        <f t="shared" si="46"/>
        <v>-3.1552738393642726E-3</v>
      </c>
      <c r="AA63" s="5">
        <v>15.607910985868955</v>
      </c>
    </row>
    <row r="64" spans="4:29" x14ac:dyDescent="0.35">
      <c r="D64" s="3">
        <v>13</v>
      </c>
      <c r="E64" s="3">
        <v>13</v>
      </c>
      <c r="F64" s="3" t="str">
        <f t="shared" si="37"/>
        <v>01101</v>
      </c>
      <c r="G64" s="3">
        <f t="shared" ref="G64:K64" si="55">MID($F64, COLUMN(G50)-COLUMN($G50) + 1, 1) * G$13</f>
        <v>0</v>
      </c>
      <c r="H64" s="3">
        <f t="shared" si="55"/>
        <v>4700</v>
      </c>
      <c r="I64" s="3">
        <f t="shared" si="55"/>
        <v>2200</v>
      </c>
      <c r="J64" s="3">
        <f t="shared" si="55"/>
        <v>0</v>
      </c>
      <c r="K64" s="3">
        <f t="shared" si="55"/>
        <v>470</v>
      </c>
      <c r="L64" s="9">
        <f t="shared" si="39"/>
        <v>357.78546712802768</v>
      </c>
      <c r="M64" s="4">
        <f t="shared" si="43"/>
        <v>1.8793516699410608</v>
      </c>
      <c r="N64" s="2"/>
      <c r="P64" s="3">
        <v>22</v>
      </c>
      <c r="Q64" s="3" t="s">
        <v>40</v>
      </c>
      <c r="R64" s="3">
        <v>10000</v>
      </c>
      <c r="S64" s="3">
        <v>0</v>
      </c>
      <c r="T64" s="3">
        <v>2200</v>
      </c>
      <c r="U64" s="3">
        <v>1000</v>
      </c>
      <c r="V64" s="3">
        <v>0</v>
      </c>
      <c r="W64" s="9">
        <v>643.27485380116957</v>
      </c>
      <c r="X64" s="4">
        <v>1.3974087303671798</v>
      </c>
      <c r="Y64" s="8">
        <f t="shared" si="41"/>
        <v>2.1356580699787742E-2</v>
      </c>
      <c r="Z64" s="7">
        <f t="shared" si="46"/>
        <v>0</v>
      </c>
      <c r="AA64" s="5">
        <v>26.869941665518297</v>
      </c>
    </row>
    <row r="65" spans="4:27" x14ac:dyDescent="0.35">
      <c r="D65" s="3">
        <v>14</v>
      </c>
      <c r="E65" s="3">
        <v>14</v>
      </c>
      <c r="F65" s="3" t="str">
        <f t="shared" si="37"/>
        <v>01110</v>
      </c>
      <c r="G65" s="3">
        <f t="shared" ref="G65:K65" si="56">MID($F65, COLUMN(G51)-COLUMN($G51) + 1, 1) * G$13</f>
        <v>0</v>
      </c>
      <c r="H65" s="3">
        <f t="shared" si="56"/>
        <v>4700</v>
      </c>
      <c r="I65" s="3">
        <f t="shared" si="56"/>
        <v>2200</v>
      </c>
      <c r="J65" s="3">
        <f t="shared" si="56"/>
        <v>1000</v>
      </c>
      <c r="K65" s="3">
        <f t="shared" si="56"/>
        <v>0</v>
      </c>
      <c r="L65" s="9">
        <f t="shared" si="39"/>
        <v>599.76798143851511</v>
      </c>
      <c r="M65" s="4">
        <f t="shared" si="43"/>
        <v>1.4542405708460755</v>
      </c>
      <c r="N65" s="2"/>
      <c r="P65" s="3">
        <v>14</v>
      </c>
      <c r="Q65" s="3" t="s">
        <v>32</v>
      </c>
      <c r="R65" s="3">
        <v>0</v>
      </c>
      <c r="S65" s="3">
        <v>4700</v>
      </c>
      <c r="T65" s="3">
        <v>2200</v>
      </c>
      <c r="U65" s="3">
        <v>1000</v>
      </c>
      <c r="V65" s="3">
        <v>0</v>
      </c>
      <c r="W65" s="9">
        <v>599.76798143851511</v>
      </c>
      <c r="X65" s="4">
        <v>1.4542405708460755</v>
      </c>
      <c r="Y65" s="8">
        <f t="shared" si="41"/>
        <v>1.9058005162091354E-2</v>
      </c>
      <c r="Z65" s="7">
        <f t="shared" si="46"/>
        <v>-2.298575537696388E-3</v>
      </c>
      <c r="AA65" s="5">
        <v>19.258296262207921</v>
      </c>
    </row>
    <row r="66" spans="4:27" x14ac:dyDescent="0.35">
      <c r="D66" s="3">
        <v>15</v>
      </c>
      <c r="E66" s="3">
        <v>15</v>
      </c>
      <c r="F66" s="3" t="str">
        <f t="shared" si="37"/>
        <v>01111</v>
      </c>
      <c r="G66" s="3">
        <f t="shared" ref="G66:K66" si="57">MID($F66, COLUMN(G52)-COLUMN($G52) + 1, 1) * G$13</f>
        <v>0</v>
      </c>
      <c r="H66" s="3">
        <f t="shared" si="57"/>
        <v>4700</v>
      </c>
      <c r="I66" s="3">
        <f t="shared" si="57"/>
        <v>2200</v>
      </c>
      <c r="J66" s="3">
        <f t="shared" si="57"/>
        <v>1000</v>
      </c>
      <c r="K66" s="3">
        <f t="shared" si="57"/>
        <v>470</v>
      </c>
      <c r="L66" s="9">
        <f t="shared" si="39"/>
        <v>263.50662589194701</v>
      </c>
      <c r="M66" s="4">
        <f t="shared" si="43"/>
        <v>2.120907903331156</v>
      </c>
      <c r="N66" s="2"/>
      <c r="P66" s="3">
        <v>30</v>
      </c>
      <c r="Q66" s="3" t="s">
        <v>48</v>
      </c>
      <c r="R66" s="3">
        <v>10000</v>
      </c>
      <c r="S66" s="3">
        <v>4700</v>
      </c>
      <c r="T66" s="3">
        <v>2200</v>
      </c>
      <c r="U66" s="3">
        <v>1000</v>
      </c>
      <c r="V66" s="3">
        <v>0</v>
      </c>
      <c r="W66" s="9">
        <v>565.83123563532888</v>
      </c>
      <c r="X66" s="4">
        <v>1.5018855837513039</v>
      </c>
      <c r="Y66" s="8">
        <f t="shared" si="41"/>
        <v>1.9058005162091354E-2</v>
      </c>
      <c r="Z66" s="7">
        <f t="shared" si="46"/>
        <v>0</v>
      </c>
      <c r="AA66" s="5">
        <v>23.873386295928356</v>
      </c>
    </row>
    <row r="67" spans="4:27" x14ac:dyDescent="0.35">
      <c r="D67" s="3">
        <v>16</v>
      </c>
      <c r="E67" s="3">
        <v>16</v>
      </c>
      <c r="F67" s="3" t="str">
        <f t="shared" si="37"/>
        <v>10000</v>
      </c>
      <c r="G67" s="3">
        <f t="shared" ref="G67:K67" si="58">MID($F67, COLUMN(G53)-COLUMN($G53) + 1, 1) * G$13</f>
        <v>10000</v>
      </c>
      <c r="H67" s="3">
        <f t="shared" si="58"/>
        <v>0</v>
      </c>
      <c r="I67" s="3">
        <f t="shared" si="58"/>
        <v>0</v>
      </c>
      <c r="J67" s="3">
        <f t="shared" si="58"/>
        <v>0</v>
      </c>
      <c r="K67" s="3">
        <f t="shared" si="58"/>
        <v>0</v>
      </c>
      <c r="L67" s="9">
        <f t="shared" si="39"/>
        <v>10000</v>
      </c>
      <c r="M67" s="4">
        <f t="shared" si="43"/>
        <v>0.14858643744030564</v>
      </c>
      <c r="N67" s="2"/>
      <c r="P67" s="3">
        <v>1</v>
      </c>
      <c r="Q67" s="3" t="s">
        <v>19</v>
      </c>
      <c r="R67" s="3">
        <v>0</v>
      </c>
      <c r="S67" s="3">
        <v>0</v>
      </c>
      <c r="T67" s="3">
        <v>0</v>
      </c>
      <c r="U67" s="3">
        <v>0</v>
      </c>
      <c r="V67" s="3">
        <v>470</v>
      </c>
      <c r="W67" s="9">
        <v>470</v>
      </c>
      <c r="X67" s="4">
        <v>1.655</v>
      </c>
      <c r="Y67" s="8">
        <f t="shared" si="41"/>
        <v>1.5199804592085898E-2</v>
      </c>
      <c r="Z67" s="7">
        <f t="shared" si="46"/>
        <v>-3.8582005700054552E-3</v>
      </c>
      <c r="AA67" s="5">
        <v>23.376024081430103</v>
      </c>
    </row>
    <row r="68" spans="4:27" x14ac:dyDescent="0.35">
      <c r="D68" s="3">
        <v>17</v>
      </c>
      <c r="E68" s="3">
        <v>17</v>
      </c>
      <c r="F68" s="3" t="str">
        <f t="shared" si="37"/>
        <v>10001</v>
      </c>
      <c r="G68" s="3">
        <f t="shared" ref="G68:K68" si="59">MID($F68, COLUMN(G54)-COLUMN($G54) + 1, 1) * G$13</f>
        <v>10000</v>
      </c>
      <c r="H68" s="3">
        <f t="shared" si="59"/>
        <v>0</v>
      </c>
      <c r="I68" s="3">
        <f t="shared" si="59"/>
        <v>0</v>
      </c>
      <c r="J68" s="3">
        <f t="shared" si="59"/>
        <v>0</v>
      </c>
      <c r="K68" s="3">
        <f t="shared" si="59"/>
        <v>470</v>
      </c>
      <c r="L68" s="9">
        <f t="shared" si="39"/>
        <v>448.90162368672401</v>
      </c>
      <c r="M68" s="4">
        <f t="shared" si="43"/>
        <v>1.6929995114802148</v>
      </c>
      <c r="N68" s="2"/>
      <c r="P68" s="3">
        <v>17</v>
      </c>
      <c r="Q68" s="3" t="s">
        <v>35</v>
      </c>
      <c r="R68" s="3">
        <v>10000</v>
      </c>
      <c r="S68" s="3">
        <v>0</v>
      </c>
      <c r="T68" s="3">
        <v>0</v>
      </c>
      <c r="U68" s="3">
        <v>0</v>
      </c>
      <c r="V68" s="3">
        <v>470</v>
      </c>
      <c r="W68" s="9">
        <v>448.90162368672401</v>
      </c>
      <c r="X68" s="4">
        <v>1.6929995114802148</v>
      </c>
      <c r="Y68" s="8">
        <f t="shared" si="41"/>
        <v>1.5199804592085898E-2</v>
      </c>
      <c r="Z68" s="7">
        <f t="shared" si="46"/>
        <v>0</v>
      </c>
      <c r="AA68" s="5">
        <v>10.656249999999943</v>
      </c>
    </row>
    <row r="69" spans="4:27" x14ac:dyDescent="0.35">
      <c r="D69" s="3">
        <v>18</v>
      </c>
      <c r="E69" s="3">
        <v>18</v>
      </c>
      <c r="F69" s="3" t="str">
        <f t="shared" si="37"/>
        <v>10010</v>
      </c>
      <c r="G69" s="3">
        <f t="shared" ref="G69:K69" si="60">MID($F69, COLUMN(G55)-COLUMN($G55) + 1, 1) * G$13</f>
        <v>10000</v>
      </c>
      <c r="H69" s="3">
        <f t="shared" si="60"/>
        <v>0</v>
      </c>
      <c r="I69" s="3">
        <f t="shared" si="60"/>
        <v>0</v>
      </c>
      <c r="J69" s="3">
        <f t="shared" si="60"/>
        <v>1000</v>
      </c>
      <c r="K69" s="3">
        <f t="shared" si="60"/>
        <v>0</v>
      </c>
      <c r="L69" s="9">
        <f t="shared" si="39"/>
        <v>909.09090909090901</v>
      </c>
      <c r="M69" s="4">
        <f t="shared" si="43"/>
        <v>1.128061964403428</v>
      </c>
      <c r="N69" s="2"/>
      <c r="P69" s="3">
        <v>9</v>
      </c>
      <c r="Q69" s="3" t="s">
        <v>27</v>
      </c>
      <c r="R69" s="3">
        <v>0</v>
      </c>
      <c r="S69" s="3">
        <v>4700</v>
      </c>
      <c r="T69" s="3">
        <v>0</v>
      </c>
      <c r="U69" s="3">
        <v>0</v>
      </c>
      <c r="V69" s="3">
        <v>470</v>
      </c>
      <c r="W69" s="9">
        <v>427.27272727272725</v>
      </c>
      <c r="X69" s="4">
        <v>1.7338095238095239</v>
      </c>
      <c r="Y69" s="8">
        <f t="shared" si="41"/>
        <v>1.3801761039767513E-2</v>
      </c>
      <c r="Z69" s="7">
        <f t="shared" si="46"/>
        <v>-1.3980435523183853E-3</v>
      </c>
      <c r="AA69" s="5">
        <v>49.538506417736357</v>
      </c>
    </row>
    <row r="70" spans="4:27" x14ac:dyDescent="0.35">
      <c r="D70" s="3">
        <v>19</v>
      </c>
      <c r="E70" s="3">
        <v>19</v>
      </c>
      <c r="F70" s="3" t="str">
        <f t="shared" si="37"/>
        <v>10011</v>
      </c>
      <c r="G70" s="3">
        <f t="shared" ref="G70:K70" si="61">MID($F70, COLUMN(G56)-COLUMN($G56) + 1, 1) * G$13</f>
        <v>10000</v>
      </c>
      <c r="H70" s="3">
        <f t="shared" si="61"/>
        <v>0</v>
      </c>
      <c r="I70" s="3">
        <f t="shared" si="61"/>
        <v>0</v>
      </c>
      <c r="J70" s="3">
        <f t="shared" si="61"/>
        <v>1000</v>
      </c>
      <c r="K70" s="3">
        <f t="shared" si="61"/>
        <v>470</v>
      </c>
      <c r="L70" s="9">
        <f t="shared" si="39"/>
        <v>309.82201713909035</v>
      </c>
      <c r="M70" s="4">
        <f t="shared" si="43"/>
        <v>1.9949423917361939</v>
      </c>
      <c r="N70" s="2"/>
      <c r="P70" s="3">
        <v>25</v>
      </c>
      <c r="Q70" s="3" t="s">
        <v>43</v>
      </c>
      <c r="R70" s="3">
        <v>10000</v>
      </c>
      <c r="S70" s="3">
        <v>4700</v>
      </c>
      <c r="T70" s="3">
        <v>0</v>
      </c>
      <c r="U70" s="3">
        <v>0</v>
      </c>
      <c r="V70" s="3">
        <v>470</v>
      </c>
      <c r="W70" s="9">
        <v>409.7646033129904</v>
      </c>
      <c r="X70" s="4">
        <v>1.7683139264089427</v>
      </c>
      <c r="Y70" s="8">
        <f t="shared" si="41"/>
        <v>1.3801761039767513E-2</v>
      </c>
      <c r="Z70" s="7">
        <f t="shared" si="46"/>
        <v>0</v>
      </c>
      <c r="AA70" s="5">
        <v>13.405938026707986</v>
      </c>
    </row>
    <row r="71" spans="4:27" x14ac:dyDescent="0.35">
      <c r="D71" s="3">
        <v>20</v>
      </c>
      <c r="E71" s="3">
        <v>20</v>
      </c>
      <c r="F71" s="3" t="str">
        <f t="shared" si="37"/>
        <v>10100</v>
      </c>
      <c r="G71" s="3">
        <f t="shared" ref="G71:K71" si="62">MID($F71, COLUMN(G57)-COLUMN($G57) + 1, 1) * G$13</f>
        <v>10000</v>
      </c>
      <c r="H71" s="3">
        <f t="shared" si="62"/>
        <v>0</v>
      </c>
      <c r="I71" s="3">
        <f t="shared" si="62"/>
        <v>2200</v>
      </c>
      <c r="J71" s="3">
        <f t="shared" si="62"/>
        <v>0</v>
      </c>
      <c r="K71" s="3">
        <f t="shared" si="62"/>
        <v>0</v>
      </c>
      <c r="L71" s="9">
        <f t="shared" si="39"/>
        <v>1803.2786885245901</v>
      </c>
      <c r="M71" s="4">
        <f t="shared" si="43"/>
        <v>0.6843419629335834</v>
      </c>
      <c r="N71" s="2"/>
      <c r="P71" s="3">
        <v>5</v>
      </c>
      <c r="Q71" s="3" t="s">
        <v>23</v>
      </c>
      <c r="R71" s="3">
        <v>0</v>
      </c>
      <c r="S71" s="3">
        <v>0</v>
      </c>
      <c r="T71" s="3">
        <v>2200</v>
      </c>
      <c r="U71" s="3">
        <v>0</v>
      </c>
      <c r="V71" s="3">
        <v>470</v>
      </c>
      <c r="W71" s="9">
        <v>387.26591760299624</v>
      </c>
      <c r="X71" s="4">
        <v>1.8147227926078029</v>
      </c>
      <c r="Y71" s="8">
        <f t="shared" si="41"/>
        <v>1.2435087726251926E-2</v>
      </c>
      <c r="Z71" s="7">
        <f t="shared" si="46"/>
        <v>-1.3666733135155873E-3</v>
      </c>
      <c r="AA71" s="5">
        <v>19.148148148148266</v>
      </c>
    </row>
    <row r="72" spans="4:27" x14ac:dyDescent="0.35">
      <c r="D72" s="3">
        <v>21</v>
      </c>
      <c r="E72" s="3">
        <v>21</v>
      </c>
      <c r="F72" s="3" t="str">
        <f t="shared" si="37"/>
        <v>10101</v>
      </c>
      <c r="G72" s="3">
        <f t="shared" ref="G72:K72" si="63">MID($F72, COLUMN(G58)-COLUMN($G58) + 1, 1) * G$13</f>
        <v>10000</v>
      </c>
      <c r="H72" s="3">
        <f t="shared" si="63"/>
        <v>0</v>
      </c>
      <c r="I72" s="3">
        <f t="shared" si="63"/>
        <v>2200</v>
      </c>
      <c r="J72" s="3">
        <f t="shared" si="63"/>
        <v>0</v>
      </c>
      <c r="K72" s="3">
        <f t="shared" si="63"/>
        <v>470</v>
      </c>
      <c r="L72" s="9">
        <f t="shared" si="39"/>
        <v>372.82757626018605</v>
      </c>
      <c r="M72" s="4">
        <f t="shared" si="43"/>
        <v>1.8458105119234327</v>
      </c>
      <c r="N72" s="2"/>
      <c r="P72" s="3">
        <v>21</v>
      </c>
      <c r="Q72" s="3" t="s">
        <v>39</v>
      </c>
      <c r="R72" s="3">
        <v>10000</v>
      </c>
      <c r="S72" s="3">
        <v>0</v>
      </c>
      <c r="T72" s="3">
        <v>2200</v>
      </c>
      <c r="U72" s="3">
        <v>0</v>
      </c>
      <c r="V72" s="3">
        <v>470</v>
      </c>
      <c r="W72" s="9">
        <v>372.82757626018605</v>
      </c>
      <c r="X72" s="4">
        <v>1.8458105119234327</v>
      </c>
      <c r="Y72" s="8">
        <f t="shared" si="41"/>
        <v>1.2435087726251926E-2</v>
      </c>
      <c r="Z72" s="7">
        <f t="shared" si="46"/>
        <v>0</v>
      </c>
      <c r="AA72" s="5">
        <v>15.027660571964248</v>
      </c>
    </row>
    <row r="73" spans="4:27" x14ac:dyDescent="0.35">
      <c r="D73" s="3">
        <v>22</v>
      </c>
      <c r="E73" s="3">
        <v>22</v>
      </c>
      <c r="F73" s="3" t="str">
        <f t="shared" si="37"/>
        <v>10110</v>
      </c>
      <c r="G73" s="3">
        <f t="shared" ref="G73:K73" si="64">MID($F73, COLUMN(G59)-COLUMN($G59) + 1, 1) * G$13</f>
        <v>10000</v>
      </c>
      <c r="H73" s="3">
        <f t="shared" si="64"/>
        <v>0</v>
      </c>
      <c r="I73" s="3">
        <f t="shared" si="64"/>
        <v>2200</v>
      </c>
      <c r="J73" s="3">
        <f t="shared" si="64"/>
        <v>1000</v>
      </c>
      <c r="K73" s="3">
        <f t="shared" si="64"/>
        <v>0</v>
      </c>
      <c r="L73" s="9">
        <f t="shared" si="39"/>
        <v>643.27485380116957</v>
      </c>
      <c r="M73" s="4">
        <f t="shared" si="43"/>
        <v>1.3974087303671798</v>
      </c>
      <c r="N73" s="2"/>
      <c r="P73" s="3">
        <v>13</v>
      </c>
      <c r="Q73" s="3" t="s">
        <v>31</v>
      </c>
      <c r="R73" s="3">
        <v>0</v>
      </c>
      <c r="S73" s="3">
        <v>4700</v>
      </c>
      <c r="T73" s="3">
        <v>2200</v>
      </c>
      <c r="U73" s="3">
        <v>0</v>
      </c>
      <c r="V73" s="3">
        <v>470</v>
      </c>
      <c r="W73" s="9">
        <v>357.78546712802768</v>
      </c>
      <c r="X73" s="4">
        <v>1.8793516699410608</v>
      </c>
      <c r="Y73" s="8">
        <f t="shared" si="41"/>
        <v>1.1393617847891148E-2</v>
      </c>
      <c r="Z73" s="7">
        <f t="shared" si="46"/>
        <v>-1.0414698783607779E-3</v>
      </c>
      <c r="AA73" s="5">
        <v>26.531662291189491</v>
      </c>
    </row>
    <row r="74" spans="4:27" x14ac:dyDescent="0.35">
      <c r="D74" s="3">
        <v>23</v>
      </c>
      <c r="E74" s="3">
        <v>23</v>
      </c>
      <c r="F74" s="3" t="str">
        <f t="shared" si="37"/>
        <v>10111</v>
      </c>
      <c r="G74" s="3">
        <f t="shared" ref="G74:K74" si="65">MID($F74, COLUMN(G60)-COLUMN($G60) + 1, 1) * G$13</f>
        <v>10000</v>
      </c>
      <c r="H74" s="3">
        <f t="shared" si="65"/>
        <v>0</v>
      </c>
      <c r="I74" s="3">
        <f t="shared" si="65"/>
        <v>2200</v>
      </c>
      <c r="J74" s="3">
        <f t="shared" si="65"/>
        <v>1000</v>
      </c>
      <c r="K74" s="3">
        <f t="shared" si="65"/>
        <v>470</v>
      </c>
      <c r="L74" s="9">
        <f t="shared" si="39"/>
        <v>271.57640384514366</v>
      </c>
      <c r="M74" s="4">
        <f t="shared" si="43"/>
        <v>2.0978283450411159</v>
      </c>
      <c r="N74" s="2"/>
      <c r="P74" s="3">
        <v>29</v>
      </c>
      <c r="Q74" s="3" t="s">
        <v>47</v>
      </c>
      <c r="R74" s="3">
        <v>10000</v>
      </c>
      <c r="S74" s="3">
        <v>4700</v>
      </c>
      <c r="T74" s="3">
        <v>2200</v>
      </c>
      <c r="U74" s="3">
        <v>0</v>
      </c>
      <c r="V74" s="3">
        <v>470</v>
      </c>
      <c r="W74" s="9">
        <v>345.42660519810244</v>
      </c>
      <c r="X74" s="4">
        <v>1.9078357145607887</v>
      </c>
      <c r="Y74" s="8">
        <f t="shared" si="41"/>
        <v>1.1393617847891148E-2</v>
      </c>
      <c r="Z74" s="7">
        <f t="shared" si="46"/>
        <v>0</v>
      </c>
      <c r="AA74" s="5">
        <v>17.236144245746118</v>
      </c>
    </row>
    <row r="75" spans="4:27" x14ac:dyDescent="0.35">
      <c r="D75" s="3">
        <v>24</v>
      </c>
      <c r="E75" s="3">
        <v>24</v>
      </c>
      <c r="F75" s="3" t="str">
        <f t="shared" si="37"/>
        <v>11000</v>
      </c>
      <c r="G75" s="3">
        <f t="shared" ref="G75:K75" si="66">MID($F75, COLUMN(G61)-COLUMN($G61) + 1, 1) * G$13</f>
        <v>10000</v>
      </c>
      <c r="H75" s="3">
        <f t="shared" si="66"/>
        <v>4700</v>
      </c>
      <c r="I75" s="3">
        <f t="shared" si="66"/>
        <v>0</v>
      </c>
      <c r="J75" s="3">
        <f t="shared" si="66"/>
        <v>0</v>
      </c>
      <c r="K75" s="3">
        <f t="shared" si="66"/>
        <v>0</v>
      </c>
      <c r="L75" s="9">
        <f t="shared" si="39"/>
        <v>3197.2789115646256</v>
      </c>
      <c r="M75" s="4">
        <f t="shared" si="43"/>
        <v>0.42421098517872702</v>
      </c>
      <c r="N75" s="2"/>
      <c r="P75" s="3">
        <v>3</v>
      </c>
      <c r="Q75" s="3" t="s">
        <v>21</v>
      </c>
      <c r="R75" s="3">
        <v>0</v>
      </c>
      <c r="S75" s="3">
        <v>0</v>
      </c>
      <c r="T75" s="3">
        <v>0</v>
      </c>
      <c r="U75" s="3">
        <v>1000</v>
      </c>
      <c r="V75" s="3">
        <v>470</v>
      </c>
      <c r="W75" s="9">
        <v>319.72789115646259</v>
      </c>
      <c r="X75" s="4">
        <v>1.9699190283400811</v>
      </c>
      <c r="Y75" s="8">
        <f t="shared" si="41"/>
        <v>1.000934535844511E-2</v>
      </c>
      <c r="Z75" s="7">
        <f t="shared" si="46"/>
        <v>-1.3842724894460381E-3</v>
      </c>
      <c r="AA75" s="5">
        <v>24.809123397099142</v>
      </c>
    </row>
    <row r="76" spans="4:27" x14ac:dyDescent="0.35">
      <c r="D76" s="3">
        <v>25</v>
      </c>
      <c r="E76" s="3">
        <v>25</v>
      </c>
      <c r="F76" s="3" t="str">
        <f t="shared" si="37"/>
        <v>11001</v>
      </c>
      <c r="G76" s="3">
        <f t="shared" ref="G76:K76" si="67">MID($F76, COLUMN(G62)-COLUMN($G62) + 1, 1) * G$13</f>
        <v>10000</v>
      </c>
      <c r="H76" s="3">
        <f t="shared" si="67"/>
        <v>4700</v>
      </c>
      <c r="I76" s="3">
        <f t="shared" si="67"/>
        <v>0</v>
      </c>
      <c r="J76" s="3">
        <f t="shared" si="67"/>
        <v>0</v>
      </c>
      <c r="K76" s="3">
        <f t="shared" si="67"/>
        <v>470</v>
      </c>
      <c r="L76" s="9">
        <f t="shared" si="39"/>
        <v>409.7646033129904</v>
      </c>
      <c r="M76" s="4">
        <f t="shared" si="43"/>
        <v>1.7683139264089427</v>
      </c>
      <c r="N76" s="2"/>
      <c r="P76" s="3">
        <v>19</v>
      </c>
      <c r="Q76" s="3" t="s">
        <v>37</v>
      </c>
      <c r="R76" s="3">
        <v>10000</v>
      </c>
      <c r="S76" s="3">
        <v>0</v>
      </c>
      <c r="T76" s="3">
        <v>0</v>
      </c>
      <c r="U76" s="3">
        <v>1000</v>
      </c>
      <c r="V76" s="3">
        <v>470</v>
      </c>
      <c r="W76" s="9">
        <v>309.82201713909035</v>
      </c>
      <c r="X76" s="4">
        <v>1.9949423917361939</v>
      </c>
      <c r="Y76" s="8">
        <f t="shared" si="41"/>
        <v>1.000934535844511E-2</v>
      </c>
      <c r="Z76" s="7">
        <f t="shared" si="46"/>
        <v>0</v>
      </c>
      <c r="AA76" s="5">
        <v>19.62890385793014</v>
      </c>
    </row>
    <row r="77" spans="4:27" x14ac:dyDescent="0.35">
      <c r="D77" s="3">
        <v>26</v>
      </c>
      <c r="E77" s="3">
        <v>26</v>
      </c>
      <c r="F77" s="3" t="str">
        <f t="shared" si="37"/>
        <v>11010</v>
      </c>
      <c r="G77" s="3">
        <f t="shared" ref="G77:K77" si="68">MID($F77, COLUMN(G63)-COLUMN($G63) + 1, 1) * G$13</f>
        <v>10000</v>
      </c>
      <c r="H77" s="3">
        <f t="shared" si="68"/>
        <v>4700</v>
      </c>
      <c r="I77" s="3">
        <f t="shared" si="68"/>
        <v>0</v>
      </c>
      <c r="J77" s="3">
        <f t="shared" si="68"/>
        <v>1000</v>
      </c>
      <c r="K77" s="3">
        <f t="shared" si="68"/>
        <v>0</v>
      </c>
      <c r="L77" s="9">
        <f t="shared" si="39"/>
        <v>761.75040518638571</v>
      </c>
      <c r="M77" s="4">
        <f t="shared" si="43"/>
        <v>1.2629993815708103</v>
      </c>
      <c r="N77" s="2"/>
      <c r="P77" s="3">
        <v>11</v>
      </c>
      <c r="Q77" s="3" t="s">
        <v>29</v>
      </c>
      <c r="R77" s="3">
        <v>0</v>
      </c>
      <c r="S77" s="3">
        <v>4700</v>
      </c>
      <c r="T77" s="3">
        <v>0</v>
      </c>
      <c r="U77" s="3">
        <v>1000</v>
      </c>
      <c r="V77" s="3">
        <v>470</v>
      </c>
      <c r="W77" s="9">
        <v>299.36305732484078</v>
      </c>
      <c r="X77" s="4">
        <v>2.0220622568093383</v>
      </c>
      <c r="Y77" s="8">
        <f t="shared" si="41"/>
        <v>9.252284895676156E-3</v>
      </c>
      <c r="Z77" s="7">
        <f t="shared" si="46"/>
        <v>-7.5706046276895374E-4</v>
      </c>
      <c r="AA77" s="5">
        <v>57.977680704388717</v>
      </c>
    </row>
    <row r="78" spans="4:27" x14ac:dyDescent="0.35">
      <c r="D78" s="3">
        <v>27</v>
      </c>
      <c r="E78" s="3">
        <v>27</v>
      </c>
      <c r="F78" s="3" t="str">
        <f t="shared" si="37"/>
        <v>11011</v>
      </c>
      <c r="G78" s="3">
        <f t="shared" ref="G78:K78" si="69">MID($F78, COLUMN(G64)-COLUMN($G64) + 1, 1) * G$13</f>
        <v>10000</v>
      </c>
      <c r="H78" s="3">
        <f t="shared" si="69"/>
        <v>4700</v>
      </c>
      <c r="I78" s="3">
        <f t="shared" si="69"/>
        <v>0</v>
      </c>
      <c r="J78" s="3">
        <f t="shared" si="69"/>
        <v>1000</v>
      </c>
      <c r="K78" s="3">
        <f t="shared" si="69"/>
        <v>470</v>
      </c>
      <c r="L78" s="9">
        <f t="shared" si="39"/>
        <v>290.66171923314778</v>
      </c>
      <c r="M78" s="4">
        <f t="shared" si="43"/>
        <v>2.0451929690485287</v>
      </c>
      <c r="N78" s="2"/>
      <c r="P78" s="3">
        <v>27</v>
      </c>
      <c r="Q78" s="3" t="s">
        <v>45</v>
      </c>
      <c r="R78" s="3">
        <v>10000</v>
      </c>
      <c r="S78" s="3">
        <v>4700</v>
      </c>
      <c r="T78" s="3">
        <v>0</v>
      </c>
      <c r="U78" s="3">
        <v>1000</v>
      </c>
      <c r="V78" s="3">
        <v>470</v>
      </c>
      <c r="W78" s="9">
        <v>290.66171923314778</v>
      </c>
      <c r="X78" s="4">
        <v>2.0451929690485287</v>
      </c>
      <c r="Y78" s="8">
        <f t="shared" si="41"/>
        <v>9.252284895676156E-3</v>
      </c>
      <c r="Z78" s="7">
        <f t="shared" si="46"/>
        <v>0</v>
      </c>
      <c r="AA78" s="5">
        <v>24.466896844762118</v>
      </c>
    </row>
    <row r="79" spans="4:27" x14ac:dyDescent="0.35">
      <c r="D79" s="3">
        <v>28</v>
      </c>
      <c r="E79" s="3">
        <v>28</v>
      </c>
      <c r="F79" s="3" t="str">
        <f t="shared" si="37"/>
        <v>11100</v>
      </c>
      <c r="G79" s="3">
        <f t="shared" ref="G79:K79" si="70">MID($F79, COLUMN(G65)-COLUMN($G65) + 1, 1) * G$13</f>
        <v>10000</v>
      </c>
      <c r="H79" s="3">
        <f t="shared" si="70"/>
        <v>4700</v>
      </c>
      <c r="I79" s="3">
        <f t="shared" si="70"/>
        <v>2200</v>
      </c>
      <c r="J79" s="3">
        <f t="shared" si="70"/>
        <v>0</v>
      </c>
      <c r="K79" s="3">
        <f t="shared" si="70"/>
        <v>0</v>
      </c>
      <c r="L79" s="9">
        <f t="shared" si="39"/>
        <v>1303.2518275775144</v>
      </c>
      <c r="M79" s="4">
        <f t="shared" si="43"/>
        <v>0.87731475913676782</v>
      </c>
      <c r="N79" s="2"/>
      <c r="P79" s="3">
        <v>7</v>
      </c>
      <c r="Q79" s="3" t="s">
        <v>25</v>
      </c>
      <c r="R79" s="3">
        <v>0</v>
      </c>
      <c r="S79" s="3">
        <v>0</v>
      </c>
      <c r="T79" s="3">
        <v>2200</v>
      </c>
      <c r="U79" s="3">
        <v>1000</v>
      </c>
      <c r="V79" s="3">
        <v>470</v>
      </c>
      <c r="W79" s="9">
        <v>279.15766738660909</v>
      </c>
      <c r="X79" s="4">
        <v>2.0765989159891598</v>
      </c>
      <c r="Y79" s="8">
        <f t="shared" si="41"/>
        <v>8.4917716207824519E-3</v>
      </c>
      <c r="Z79" s="7">
        <f t="shared" si="46"/>
        <v>-7.6051327489370414E-4</v>
      </c>
      <c r="AA79" s="5">
        <v>35.661538884157949</v>
      </c>
    </row>
    <row r="80" spans="4:27" x14ac:dyDescent="0.35">
      <c r="D80" s="3">
        <v>29</v>
      </c>
      <c r="E80" s="3">
        <v>29</v>
      </c>
      <c r="F80" s="3" t="str">
        <f t="shared" si="37"/>
        <v>11101</v>
      </c>
      <c r="G80" s="3">
        <f t="shared" ref="G80:K80" si="71">MID($F80, COLUMN(G66)-COLUMN($G66) + 1, 1) * G$13</f>
        <v>10000</v>
      </c>
      <c r="H80" s="3">
        <f t="shared" si="71"/>
        <v>4700</v>
      </c>
      <c r="I80" s="3">
        <f t="shared" si="71"/>
        <v>2200</v>
      </c>
      <c r="J80" s="3">
        <f t="shared" si="71"/>
        <v>0</v>
      </c>
      <c r="K80" s="3">
        <f t="shared" si="71"/>
        <v>470</v>
      </c>
      <c r="L80" s="9">
        <f t="shared" si="39"/>
        <v>345.42660519810244</v>
      </c>
      <c r="M80" s="4">
        <f t="shared" si="43"/>
        <v>1.9078357145607887</v>
      </c>
      <c r="N80" s="2"/>
      <c r="P80" s="3">
        <v>23</v>
      </c>
      <c r="Q80" s="3" t="s">
        <v>41</v>
      </c>
      <c r="R80" s="3">
        <v>10000</v>
      </c>
      <c r="S80" s="3">
        <v>0</v>
      </c>
      <c r="T80" s="3">
        <v>2200</v>
      </c>
      <c r="U80" s="3">
        <v>1000</v>
      </c>
      <c r="V80" s="3">
        <v>470</v>
      </c>
      <c r="W80" s="9">
        <v>271.57640384514366</v>
      </c>
      <c r="X80" s="4">
        <v>2.0978283450411159</v>
      </c>
      <c r="Y80" s="8">
        <f t="shared" si="41"/>
        <v>8.4917716207824519E-3</v>
      </c>
      <c r="Z80" s="7">
        <f t="shared" si="46"/>
        <v>0</v>
      </c>
      <c r="AA80" s="5">
        <v>28.594112399643109</v>
      </c>
    </row>
    <row r="81" spans="4:27" x14ac:dyDescent="0.35">
      <c r="D81" s="3">
        <v>30</v>
      </c>
      <c r="E81" s="3">
        <v>30</v>
      </c>
      <c r="F81" s="3" t="str">
        <f t="shared" si="37"/>
        <v>11110</v>
      </c>
      <c r="G81" s="3">
        <f t="shared" ref="G81:K81" si="72">MID($F81, COLUMN(G67)-COLUMN($G67) + 1, 1) * G$13</f>
        <v>10000</v>
      </c>
      <c r="H81" s="3">
        <f t="shared" si="72"/>
        <v>4700</v>
      </c>
      <c r="I81" s="3">
        <f t="shared" si="72"/>
        <v>2200</v>
      </c>
      <c r="J81" s="3">
        <f t="shared" si="72"/>
        <v>1000</v>
      </c>
      <c r="K81" s="3">
        <f t="shared" si="72"/>
        <v>0</v>
      </c>
      <c r="L81" s="9">
        <f t="shared" si="39"/>
        <v>565.83123563532888</v>
      </c>
      <c r="M81" s="4">
        <f t="shared" si="43"/>
        <v>1.5018855837513039</v>
      </c>
      <c r="N81" s="2"/>
      <c r="P81" s="3">
        <v>15</v>
      </c>
      <c r="Q81" s="3" t="s">
        <v>33</v>
      </c>
      <c r="R81" s="3">
        <v>0</v>
      </c>
      <c r="S81" s="3">
        <v>4700</v>
      </c>
      <c r="T81" s="3">
        <v>2200</v>
      </c>
      <c r="U81" s="3">
        <v>1000</v>
      </c>
      <c r="V81" s="3">
        <v>470</v>
      </c>
      <c r="W81" s="9">
        <v>263.50662589194701</v>
      </c>
      <c r="X81" s="4">
        <v>2.120907903331156</v>
      </c>
      <c r="Y81" s="8">
        <f t="shared" si="41"/>
        <v>7.8974931943063716E-3</v>
      </c>
      <c r="Z81" s="7">
        <f t="shared" si="46"/>
        <v>-5.9427842647608031E-4</v>
      </c>
      <c r="AA81" s="5">
        <v>51.836812702146517</v>
      </c>
    </row>
    <row r="82" spans="4:27" x14ac:dyDescent="0.35">
      <c r="D82" s="3">
        <v>31</v>
      </c>
      <c r="E82" s="3">
        <v>31</v>
      </c>
      <c r="F82" s="3" t="str">
        <f t="shared" si="37"/>
        <v>11111</v>
      </c>
      <c r="G82" s="3">
        <f t="shared" ref="G82:K82" si="73">MID($F82, COLUMN(G68)-COLUMN($G68) + 1, 1) * G$13</f>
        <v>10000</v>
      </c>
      <c r="H82" s="3">
        <f t="shared" si="73"/>
        <v>4700</v>
      </c>
      <c r="I82" s="3">
        <f t="shared" si="73"/>
        <v>2200</v>
      </c>
      <c r="J82" s="3">
        <f t="shared" si="73"/>
        <v>1000</v>
      </c>
      <c r="K82" s="3">
        <f t="shared" si="73"/>
        <v>470</v>
      </c>
      <c r="L82" s="9">
        <f t="shared" si="39"/>
        <v>256.74132194467893</v>
      </c>
      <c r="M82" s="4">
        <f t="shared" si="43"/>
        <v>2.1406516363169219</v>
      </c>
      <c r="N82" s="2"/>
      <c r="P82" s="3">
        <v>31</v>
      </c>
      <c r="Q82" s="3" t="s">
        <v>49</v>
      </c>
      <c r="R82" s="3">
        <v>10000</v>
      </c>
      <c r="S82" s="3">
        <v>4700</v>
      </c>
      <c r="T82" s="3">
        <v>2200</v>
      </c>
      <c r="U82" s="3">
        <v>1000</v>
      </c>
      <c r="V82" s="3">
        <v>470</v>
      </c>
      <c r="W82" s="9">
        <v>256.74132194467893</v>
      </c>
      <c r="X82" s="4">
        <v>2.1406516363169219</v>
      </c>
      <c r="Y82" s="8">
        <f t="shared" si="41"/>
        <v>7.8974931943063716E-3</v>
      </c>
      <c r="Z82" s="7">
        <f t="shared" si="46"/>
        <v>0</v>
      </c>
      <c r="AA82" s="5"/>
    </row>
    <row r="83" spans="4:27" x14ac:dyDescent="0.35">
      <c r="D83" s="3">
        <v>31</v>
      </c>
      <c r="E83" s="3">
        <v>31</v>
      </c>
      <c r="F83" s="3" t="str">
        <f t="shared" ref="F52:F83" si="74">DEC2BIN(E83, 5)</f>
        <v>11111</v>
      </c>
      <c r="G83" s="3" t="e">
        <f t="shared" ref="G83:K83" si="75">MID($F83, COLUMN(G69)-COLUMN($G69) + 1, 1) * G$50</f>
        <v>#VALUE!</v>
      </c>
      <c r="H83" s="3" t="e">
        <f t="shared" si="75"/>
        <v>#VALUE!</v>
      </c>
      <c r="I83" s="3" t="e">
        <f t="shared" si="75"/>
        <v>#VALUE!</v>
      </c>
      <c r="J83" s="3" t="e">
        <f t="shared" si="75"/>
        <v>#VALUE!</v>
      </c>
      <c r="K83" s="3" t="e">
        <f t="shared" si="75"/>
        <v>#VALUE!</v>
      </c>
      <c r="L83" s="5" t="e">
        <f t="shared" ref="L53:L83" si="76">K83+J83+I83+H83+G83</f>
        <v>#VALUE!</v>
      </c>
      <c r="M83" s="4" t="e">
        <f t="shared" ref="M54:M83" si="77">5-IF(L83 = 0, 5, L83/(L83+D$50)*5)</f>
        <v>#VALUE!</v>
      </c>
      <c r="N83" s="2" t="e">
        <f t="shared" ref="N52:N83" si="78">(M83/5)*1023</f>
        <v>#VALUE!</v>
      </c>
      <c r="P83" s="3">
        <v>1</v>
      </c>
      <c r="Q83" s="3" t="s">
        <v>19</v>
      </c>
      <c r="R83" s="3">
        <v>0</v>
      </c>
      <c r="S83" s="3">
        <v>0</v>
      </c>
      <c r="T83" s="3">
        <v>0</v>
      </c>
      <c r="U83" s="3">
        <v>0</v>
      </c>
      <c r="V83" s="3">
        <v>220</v>
      </c>
      <c r="W83" s="3">
        <v>220</v>
      </c>
      <c r="X83" s="4">
        <v>4.7764227642276422</v>
      </c>
      <c r="Y83" s="5">
        <v>977.2560975609756</v>
      </c>
      <c r="Z83" s="7">
        <f t="shared" si="46"/>
        <v>977.24820006778134</v>
      </c>
      <c r="AA83" s="3"/>
    </row>
    <row r="89" spans="4:27" x14ac:dyDescent="0.35">
      <c r="G89" s="3" t="s">
        <v>15</v>
      </c>
      <c r="H89" s="3" t="s">
        <v>17</v>
      </c>
      <c r="I89" s="3" t="s">
        <v>2</v>
      </c>
      <c r="J89" s="3" t="s">
        <v>3</v>
      </c>
      <c r="K89" s="3" t="s">
        <v>4</v>
      </c>
      <c r="L89" s="5" t="s">
        <v>5</v>
      </c>
      <c r="M89" s="3" t="s">
        <v>6</v>
      </c>
      <c r="N89" t="s">
        <v>7</v>
      </c>
      <c r="O89" t="s">
        <v>16</v>
      </c>
      <c r="P89" s="2" t="s">
        <v>14</v>
      </c>
      <c r="Q89" s="2" t="s">
        <v>54</v>
      </c>
    </row>
    <row r="90" spans="4:27" x14ac:dyDescent="0.35">
      <c r="G90" s="3">
        <v>2</v>
      </c>
      <c r="H90" s="3" t="s">
        <v>20</v>
      </c>
      <c r="I90" s="3">
        <v>0</v>
      </c>
      <c r="J90" s="3">
        <v>0</v>
      </c>
      <c r="K90" s="3">
        <v>0</v>
      </c>
      <c r="L90" s="5">
        <v>1000</v>
      </c>
      <c r="M90" s="3">
        <v>0</v>
      </c>
      <c r="N90">
        <v>1000</v>
      </c>
      <c r="O90">
        <v>1.5986394557823131</v>
      </c>
      <c r="P90" s="2">
        <v>327.08163265306126</v>
      </c>
      <c r="Q90" s="2">
        <v>55.935711626803425</v>
      </c>
    </row>
    <row r="91" spans="4:27" x14ac:dyDescent="0.35">
      <c r="G91" s="3">
        <v>4</v>
      </c>
      <c r="H91" s="3" t="s">
        <v>22</v>
      </c>
      <c r="I91" s="3">
        <v>0</v>
      </c>
      <c r="J91" s="3">
        <v>0</v>
      </c>
      <c r="K91" s="3">
        <v>2200</v>
      </c>
      <c r="L91" s="5">
        <v>0</v>
      </c>
      <c r="M91" s="3">
        <v>0</v>
      </c>
      <c r="N91">
        <v>2200</v>
      </c>
      <c r="O91">
        <v>0.8801498127340821</v>
      </c>
      <c r="P91" s="2">
        <v>180.0786516853932</v>
      </c>
      <c r="Q91" s="2">
        <v>48.970543577285099</v>
      </c>
    </row>
    <row r="92" spans="4:27" x14ac:dyDescent="0.35">
      <c r="G92" s="3">
        <v>1</v>
      </c>
      <c r="H92" s="3" t="s">
        <v>19</v>
      </c>
      <c r="I92" s="3">
        <v>0</v>
      </c>
      <c r="J92" s="3">
        <v>0</v>
      </c>
      <c r="K92" s="3">
        <v>0</v>
      </c>
      <c r="L92" s="5">
        <v>0</v>
      </c>
      <c r="M92" s="3">
        <v>470</v>
      </c>
      <c r="N92">
        <v>470</v>
      </c>
      <c r="O92">
        <v>2.5</v>
      </c>
      <c r="P92" s="2">
        <v>511.5</v>
      </c>
      <c r="Q92" s="2">
        <v>47.32206882852455</v>
      </c>
    </row>
    <row r="93" spans="4:27" x14ac:dyDescent="0.35">
      <c r="G93" s="3">
        <v>8</v>
      </c>
      <c r="H93" s="3" t="s">
        <v>26</v>
      </c>
      <c r="I93" s="3">
        <v>0</v>
      </c>
      <c r="J93" s="3">
        <v>4700</v>
      </c>
      <c r="K93" s="3">
        <v>0</v>
      </c>
      <c r="L93" s="5">
        <v>0</v>
      </c>
      <c r="M93" s="3">
        <v>0</v>
      </c>
      <c r="N93">
        <v>4700</v>
      </c>
      <c r="O93">
        <v>0.45454545454545503</v>
      </c>
      <c r="P93" s="2">
        <v>93.000000000000099</v>
      </c>
      <c r="Q93" s="2">
        <v>47.077363896848347</v>
      </c>
    </row>
    <row r="94" spans="4:27" x14ac:dyDescent="0.35">
      <c r="G94" s="3">
        <v>16</v>
      </c>
      <c r="H94" s="3" t="s">
        <v>34</v>
      </c>
      <c r="I94" s="3">
        <v>10000</v>
      </c>
      <c r="J94" s="3">
        <v>0</v>
      </c>
      <c r="K94" s="3">
        <v>0</v>
      </c>
      <c r="L94" s="5">
        <v>0</v>
      </c>
      <c r="M94" s="3">
        <v>0</v>
      </c>
      <c r="N94">
        <v>10000</v>
      </c>
      <c r="O94">
        <v>0.22445081184336146</v>
      </c>
      <c r="P94" s="2">
        <v>45.922636103151753</v>
      </c>
      <c r="Q94" s="2">
        <v>45.922636103151753</v>
      </c>
    </row>
    <row r="95" spans="4:27" x14ac:dyDescent="0.35">
      <c r="G95" s="3">
        <v>24</v>
      </c>
      <c r="H95" s="3" t="s">
        <v>42</v>
      </c>
      <c r="I95" s="3">
        <v>10000</v>
      </c>
      <c r="J95" s="3">
        <v>4700</v>
      </c>
      <c r="K95" s="3">
        <v>0</v>
      </c>
      <c r="L95" s="5">
        <v>0</v>
      </c>
      <c r="M95" s="3">
        <v>0</v>
      </c>
      <c r="N95">
        <v>3197.2789115646256</v>
      </c>
      <c r="O95">
        <v>0.64080209241499553</v>
      </c>
      <c r="P95" s="2">
        <v>131.1081081081081</v>
      </c>
      <c r="Q95" s="2">
        <v>38.108108108107999</v>
      </c>
    </row>
    <row r="96" spans="4:27" x14ac:dyDescent="0.35">
      <c r="G96" s="3">
        <v>12</v>
      </c>
      <c r="H96" s="3" t="s">
        <v>30</v>
      </c>
      <c r="I96" s="3">
        <v>0</v>
      </c>
      <c r="J96" s="3">
        <v>4700</v>
      </c>
      <c r="K96" s="3">
        <v>2200</v>
      </c>
      <c r="L96" s="5">
        <v>0</v>
      </c>
      <c r="M96" s="3">
        <v>0</v>
      </c>
      <c r="N96">
        <v>1498.550724637681</v>
      </c>
      <c r="O96">
        <v>1.1937716262975777</v>
      </c>
      <c r="P96" s="2">
        <v>244.24567474048439</v>
      </c>
      <c r="Q96" s="2">
        <v>32.740590728080861</v>
      </c>
    </row>
    <row r="97" spans="7:17" x14ac:dyDescent="0.35">
      <c r="G97" s="3">
        <v>20</v>
      </c>
      <c r="H97" s="3" t="s">
        <v>38</v>
      </c>
      <c r="I97" s="3">
        <v>10000</v>
      </c>
      <c r="J97" s="3">
        <v>0</v>
      </c>
      <c r="K97" s="3">
        <v>2200</v>
      </c>
      <c r="L97" s="5">
        <v>0</v>
      </c>
      <c r="M97" s="3">
        <v>0</v>
      </c>
      <c r="N97">
        <v>1803.2786885245901</v>
      </c>
      <c r="O97">
        <v>1.033749188721425</v>
      </c>
      <c r="P97" s="2">
        <v>211.50508401240353</v>
      </c>
      <c r="Q97" s="2">
        <v>31.426432327010332</v>
      </c>
    </row>
    <row r="98" spans="7:17" x14ac:dyDescent="0.35">
      <c r="G98" s="3">
        <v>28</v>
      </c>
      <c r="H98" s="3" t="s">
        <v>46</v>
      </c>
      <c r="I98" s="3">
        <v>10000</v>
      </c>
      <c r="J98" s="3">
        <v>4700</v>
      </c>
      <c r="K98" s="3">
        <v>2200</v>
      </c>
      <c r="L98" s="5">
        <v>0</v>
      </c>
      <c r="M98" s="3">
        <v>0</v>
      </c>
      <c r="N98">
        <v>1303.2518275775144</v>
      </c>
      <c r="O98">
        <v>1.3252488808712504</v>
      </c>
      <c r="P98" s="2">
        <v>271.14592102625784</v>
      </c>
      <c r="Q98" s="2">
        <v>26.900246285773449</v>
      </c>
    </row>
    <row r="99" spans="7:17" x14ac:dyDescent="0.35">
      <c r="G99" s="3">
        <v>6</v>
      </c>
      <c r="H99" s="3" t="s">
        <v>24</v>
      </c>
      <c r="I99" s="3">
        <v>0</v>
      </c>
      <c r="J99" s="3">
        <v>0</v>
      </c>
      <c r="K99" s="3">
        <v>2200</v>
      </c>
      <c r="L99" s="5">
        <v>1000</v>
      </c>
      <c r="M99" s="3">
        <v>0</v>
      </c>
      <c r="N99">
        <v>687.5</v>
      </c>
      <c r="O99">
        <v>2.0302375809935205</v>
      </c>
      <c r="P99" s="2">
        <v>415.38660907127428</v>
      </c>
      <c r="Q99" s="2">
        <v>25.039670295764097</v>
      </c>
    </row>
    <row r="100" spans="7:17" x14ac:dyDescent="0.35">
      <c r="G100" s="3">
        <v>10</v>
      </c>
      <c r="H100" s="3" t="s">
        <v>28</v>
      </c>
      <c r="I100" s="3">
        <v>0</v>
      </c>
      <c r="J100" s="3">
        <v>4700</v>
      </c>
      <c r="K100" s="3">
        <v>0</v>
      </c>
      <c r="L100" s="5">
        <v>1000</v>
      </c>
      <c r="M100" s="3">
        <v>0</v>
      </c>
      <c r="N100">
        <v>824.56140350877195</v>
      </c>
      <c r="O100">
        <v>1.8152866242038219</v>
      </c>
      <c r="P100" s="2">
        <v>371.40764331210192</v>
      </c>
      <c r="Q100" s="2">
        <v>22.76492742548362</v>
      </c>
    </row>
    <row r="101" spans="7:17" x14ac:dyDescent="0.35">
      <c r="G101" s="3">
        <v>18</v>
      </c>
      <c r="H101" s="3" t="s">
        <v>36</v>
      </c>
      <c r="I101" s="3">
        <v>10000</v>
      </c>
      <c r="J101" s="3">
        <v>0</v>
      </c>
      <c r="K101" s="3">
        <v>0</v>
      </c>
      <c r="L101" s="5">
        <v>1000</v>
      </c>
      <c r="M101" s="3">
        <v>0</v>
      </c>
      <c r="N101">
        <v>909.09090909090901</v>
      </c>
      <c r="O101">
        <v>1.7040210942649967</v>
      </c>
      <c r="P101" s="2">
        <v>348.6427158866183</v>
      </c>
      <c r="Q101" s="2">
        <v>21.561083233557042</v>
      </c>
    </row>
    <row r="102" spans="7:17" x14ac:dyDescent="0.35">
      <c r="G102" s="3">
        <v>3</v>
      </c>
      <c r="H102" s="3" t="s">
        <v>21</v>
      </c>
      <c r="I102" s="3">
        <v>0</v>
      </c>
      <c r="J102" s="3">
        <v>0</v>
      </c>
      <c r="K102" s="3">
        <v>0</v>
      </c>
      <c r="L102" s="5">
        <v>1000</v>
      </c>
      <c r="M102" s="3">
        <v>470</v>
      </c>
      <c r="N102">
        <v>319.72789115646259</v>
      </c>
      <c r="O102">
        <v>2.9757085020242915</v>
      </c>
      <c r="P102" s="2">
        <v>608.82995951417001</v>
      </c>
      <c r="Q102" s="2">
        <v>19.187682778312933</v>
      </c>
    </row>
    <row r="103" spans="7:17" x14ac:dyDescent="0.35">
      <c r="G103" s="3">
        <v>26</v>
      </c>
      <c r="H103" s="3" t="s">
        <v>44</v>
      </c>
      <c r="I103" s="3">
        <v>10000</v>
      </c>
      <c r="J103" s="3">
        <v>4700</v>
      </c>
      <c r="K103" s="3">
        <v>0</v>
      </c>
      <c r="L103" s="5">
        <v>1000</v>
      </c>
      <c r="M103" s="3">
        <v>0</v>
      </c>
      <c r="N103">
        <v>761.75040518638571</v>
      </c>
      <c r="O103">
        <v>1.9078540507111934</v>
      </c>
      <c r="P103" s="2">
        <v>390.34693877551018</v>
      </c>
      <c r="Q103" s="2">
        <v>18.939295463408257</v>
      </c>
    </row>
    <row r="104" spans="7:17" x14ac:dyDescent="0.35">
      <c r="G104" s="3">
        <v>14</v>
      </c>
      <c r="H104" s="3" t="s">
        <v>32</v>
      </c>
      <c r="I104" s="3">
        <v>0</v>
      </c>
      <c r="J104" s="3">
        <v>4700</v>
      </c>
      <c r="K104" s="3">
        <v>2200</v>
      </c>
      <c r="L104" s="5">
        <v>1000</v>
      </c>
      <c r="M104" s="3">
        <v>0</v>
      </c>
      <c r="N104">
        <v>599.76798143851511</v>
      </c>
      <c r="O104">
        <v>2.1967380224260955</v>
      </c>
      <c r="P104" s="2">
        <v>449.45259938837916</v>
      </c>
      <c r="Q104" s="2">
        <v>17.564644353447079</v>
      </c>
    </row>
    <row r="105" spans="7:17" x14ac:dyDescent="0.35">
      <c r="G105" s="3">
        <v>22</v>
      </c>
      <c r="H105" s="3" t="s">
        <v>40</v>
      </c>
      <c r="I105" s="3">
        <v>10000</v>
      </c>
      <c r="J105" s="3">
        <v>0</v>
      </c>
      <c r="K105" s="3">
        <v>2200</v>
      </c>
      <c r="L105" s="5">
        <v>1000</v>
      </c>
      <c r="M105" s="3">
        <v>0</v>
      </c>
      <c r="N105">
        <v>643.27485380116957</v>
      </c>
      <c r="O105">
        <v>2.1108893207963444</v>
      </c>
      <c r="P105" s="2">
        <v>431.88795503493208</v>
      </c>
      <c r="Q105" s="2">
        <v>16.501345963657798</v>
      </c>
    </row>
    <row r="106" spans="7:17" x14ac:dyDescent="0.35">
      <c r="G106" s="3">
        <v>30</v>
      </c>
      <c r="H106" s="3" t="s">
        <v>48</v>
      </c>
      <c r="I106" s="3">
        <v>10000</v>
      </c>
      <c r="J106" s="3">
        <v>4700</v>
      </c>
      <c r="K106" s="3">
        <v>2200</v>
      </c>
      <c r="L106" s="5">
        <v>1000</v>
      </c>
      <c r="M106" s="3">
        <v>0</v>
      </c>
      <c r="N106">
        <v>565.83123563532888</v>
      </c>
      <c r="O106">
        <v>2.2687093410140542</v>
      </c>
      <c r="P106" s="2">
        <v>464.17793117147545</v>
      </c>
      <c r="Q106" s="2">
        <v>14.725331783096294</v>
      </c>
    </row>
    <row r="107" spans="7:17" x14ac:dyDescent="0.35">
      <c r="G107" s="3">
        <v>5</v>
      </c>
      <c r="H107" s="3" t="s">
        <v>23</v>
      </c>
      <c r="I107" s="3">
        <v>0</v>
      </c>
      <c r="J107" s="3">
        <v>0</v>
      </c>
      <c r="K107" s="3">
        <v>2200</v>
      </c>
      <c r="L107" s="5">
        <v>0</v>
      </c>
      <c r="M107" s="3">
        <v>470</v>
      </c>
      <c r="N107">
        <v>387.26591760299624</v>
      </c>
      <c r="O107">
        <v>2.7412731006160165</v>
      </c>
      <c r="P107" s="2">
        <v>560.86447638603693</v>
      </c>
      <c r="Q107" s="2">
        <v>14.343284024602326</v>
      </c>
    </row>
    <row r="108" spans="7:17" x14ac:dyDescent="0.35">
      <c r="G108" s="3">
        <v>9</v>
      </c>
      <c r="H108" s="3" t="s">
        <v>27</v>
      </c>
      <c r="I108" s="3">
        <v>0</v>
      </c>
      <c r="J108" s="3">
        <v>4700</v>
      </c>
      <c r="K108" s="3">
        <v>0</v>
      </c>
      <c r="L108" s="5">
        <v>0</v>
      </c>
      <c r="M108" s="3">
        <v>470</v>
      </c>
      <c r="N108">
        <v>427.27272727272725</v>
      </c>
      <c r="O108">
        <v>2.6190476190476191</v>
      </c>
      <c r="P108" s="2">
        <v>535.85714285714289</v>
      </c>
      <c r="Q108" s="2">
        <v>12.612882964617256</v>
      </c>
    </row>
    <row r="109" spans="7:17" x14ac:dyDescent="0.35">
      <c r="G109" s="3">
        <v>17</v>
      </c>
      <c r="H109" s="3" t="s">
        <v>35</v>
      </c>
      <c r="I109" s="3">
        <v>10000</v>
      </c>
      <c r="J109" s="3">
        <v>0</v>
      </c>
      <c r="K109" s="3">
        <v>0</v>
      </c>
      <c r="L109" s="5">
        <v>0</v>
      </c>
      <c r="M109" s="3">
        <v>470</v>
      </c>
      <c r="N109">
        <v>448.90162368672401</v>
      </c>
      <c r="O109">
        <v>2.557401074743527</v>
      </c>
      <c r="P109" s="2">
        <v>523.24425989252563</v>
      </c>
      <c r="Q109" s="2">
        <v>11.744259892525633</v>
      </c>
    </row>
    <row r="110" spans="7:17" x14ac:dyDescent="0.35">
      <c r="G110" s="3">
        <v>25</v>
      </c>
      <c r="H110" s="3" t="s">
        <v>43</v>
      </c>
      <c r="I110" s="3">
        <v>10000</v>
      </c>
      <c r="J110" s="3">
        <v>4700</v>
      </c>
      <c r="K110" s="3">
        <v>0</v>
      </c>
      <c r="L110" s="5">
        <v>0</v>
      </c>
      <c r="M110" s="3">
        <v>470</v>
      </c>
      <c r="N110">
        <v>409.7646033129904</v>
      </c>
      <c r="O110">
        <v>2.6711690731252911</v>
      </c>
      <c r="P110" s="2">
        <v>546.5211923614346</v>
      </c>
      <c r="Q110" s="2">
        <v>10.664049504291711</v>
      </c>
    </row>
    <row r="111" spans="7:17" x14ac:dyDescent="0.35">
      <c r="G111" s="3">
        <v>13</v>
      </c>
      <c r="H111" s="3" t="s">
        <v>31</v>
      </c>
      <c r="I111" s="3">
        <v>0</v>
      </c>
      <c r="J111" s="3">
        <v>4700</v>
      </c>
      <c r="K111" s="3">
        <v>2200</v>
      </c>
      <c r="L111" s="5">
        <v>0</v>
      </c>
      <c r="M111" s="3">
        <v>470</v>
      </c>
      <c r="N111">
        <v>357.78546712802768</v>
      </c>
      <c r="O111">
        <v>2.838899803536346</v>
      </c>
      <c r="P111" s="2">
        <v>580.83889980353638</v>
      </c>
      <c r="Q111" s="2">
        <v>10.366345816324383</v>
      </c>
    </row>
    <row r="112" spans="7:17" x14ac:dyDescent="0.35">
      <c r="G112" s="3">
        <v>7</v>
      </c>
      <c r="H112" s="3" t="s">
        <v>25</v>
      </c>
      <c r="I112" s="3">
        <v>0</v>
      </c>
      <c r="J112" s="3">
        <v>0</v>
      </c>
      <c r="K112" s="3">
        <v>2200</v>
      </c>
      <c r="L112" s="5">
        <v>1000</v>
      </c>
      <c r="M112" s="3">
        <v>470</v>
      </c>
      <c r="N112">
        <v>279.15766738660909</v>
      </c>
      <c r="O112">
        <v>3.1368563685636852</v>
      </c>
      <c r="P112" s="2">
        <v>641.80081300813004</v>
      </c>
      <c r="Q112" s="2">
        <v>9.706430126968371</v>
      </c>
    </row>
    <row r="113" spans="7:17" x14ac:dyDescent="0.35">
      <c r="G113" s="3">
        <v>21</v>
      </c>
      <c r="H113" s="3" t="s">
        <v>39</v>
      </c>
      <c r="I113" s="3">
        <v>10000</v>
      </c>
      <c r="J113" s="3">
        <v>0</v>
      </c>
      <c r="K113" s="3">
        <v>2200</v>
      </c>
      <c r="L113" s="5">
        <v>0</v>
      </c>
      <c r="M113" s="3">
        <v>470</v>
      </c>
      <c r="N113">
        <v>372.82757626018605</v>
      </c>
      <c r="O113">
        <v>2.7882334016970285</v>
      </c>
      <c r="P113" s="2">
        <v>570.472553987212</v>
      </c>
      <c r="Q113" s="2">
        <v>9.6080776011750686</v>
      </c>
    </row>
    <row r="114" spans="7:17" x14ac:dyDescent="0.35">
      <c r="G114" s="3">
        <v>29</v>
      </c>
      <c r="H114" s="3" t="s">
        <v>47</v>
      </c>
      <c r="I114" s="3">
        <v>10000</v>
      </c>
      <c r="J114" s="3">
        <v>4700</v>
      </c>
      <c r="K114" s="3">
        <v>2200</v>
      </c>
      <c r="L114" s="5">
        <v>0</v>
      </c>
      <c r="M114" s="3">
        <v>470</v>
      </c>
      <c r="N114">
        <v>345.42660519810244</v>
      </c>
      <c r="O114">
        <v>2.8819270612700736</v>
      </c>
      <c r="P114" s="2">
        <v>589.64227673585708</v>
      </c>
      <c r="Q114" s="2">
        <v>8.8033769323207025</v>
      </c>
    </row>
    <row r="115" spans="7:17" x14ac:dyDescent="0.35">
      <c r="G115" s="3">
        <v>11</v>
      </c>
      <c r="H115" s="3" t="s">
        <v>29</v>
      </c>
      <c r="I115" s="3">
        <v>0</v>
      </c>
      <c r="J115" s="3">
        <v>4700</v>
      </c>
      <c r="K115" s="3">
        <v>0</v>
      </c>
      <c r="L115" s="5">
        <v>1000</v>
      </c>
      <c r="M115" s="3">
        <v>470</v>
      </c>
      <c r="N115">
        <v>299.36305732484078</v>
      </c>
      <c r="O115">
        <v>3.054474708171206</v>
      </c>
      <c r="P115" s="2">
        <v>624.94552529182874</v>
      </c>
      <c r="Q115" s="2">
        <v>8.3817589032710202</v>
      </c>
    </row>
    <row r="116" spans="7:17" x14ac:dyDescent="0.35">
      <c r="G116" s="3">
        <v>19</v>
      </c>
      <c r="H116" s="3" t="s">
        <v>37</v>
      </c>
      <c r="I116" s="3">
        <v>10000</v>
      </c>
      <c r="J116" s="3">
        <v>0</v>
      </c>
      <c r="K116" s="3">
        <v>0</v>
      </c>
      <c r="L116" s="5">
        <v>1000</v>
      </c>
      <c r="M116" s="3">
        <v>470</v>
      </c>
      <c r="N116">
        <v>309.82201713909035</v>
      </c>
      <c r="O116">
        <v>3.013508144616607</v>
      </c>
      <c r="P116" s="2">
        <v>616.56376638855772</v>
      </c>
      <c r="Q116" s="2">
        <v>7.7338068743877102</v>
      </c>
    </row>
    <row r="117" spans="7:17" x14ac:dyDescent="0.35">
      <c r="G117" s="3">
        <v>27</v>
      </c>
      <c r="H117" s="3" t="s">
        <v>45</v>
      </c>
      <c r="I117" s="3">
        <v>10000</v>
      </c>
      <c r="J117" s="3">
        <v>4700</v>
      </c>
      <c r="K117" s="3">
        <v>0</v>
      </c>
      <c r="L117" s="5">
        <v>1000</v>
      </c>
      <c r="M117" s="3">
        <v>470</v>
      </c>
      <c r="N117">
        <v>290.66171923314778</v>
      </c>
      <c r="O117">
        <v>3.0894153611004969</v>
      </c>
      <c r="P117" s="2">
        <v>632.09438288116166</v>
      </c>
      <c r="Q117" s="2">
        <v>7.1488575893329198</v>
      </c>
    </row>
    <row r="118" spans="7:17" x14ac:dyDescent="0.35">
      <c r="G118" s="3">
        <v>15</v>
      </c>
      <c r="H118" s="3" t="s">
        <v>33</v>
      </c>
      <c r="I118" s="3">
        <v>0</v>
      </c>
      <c r="J118" s="3">
        <v>4700</v>
      </c>
      <c r="K118" s="3">
        <v>2200</v>
      </c>
      <c r="L118" s="5">
        <v>1000</v>
      </c>
      <c r="M118" s="3">
        <v>470</v>
      </c>
      <c r="N118">
        <v>263.50662589194701</v>
      </c>
      <c r="O118">
        <v>3.2037883736120181</v>
      </c>
      <c r="P118" s="2">
        <v>655.49510124101892</v>
      </c>
      <c r="Q118" s="2">
        <v>7.1330477736286184</v>
      </c>
    </row>
    <row r="119" spans="7:17" x14ac:dyDescent="0.35">
      <c r="G119" s="3">
        <v>23</v>
      </c>
      <c r="H119" s="3" t="s">
        <v>41</v>
      </c>
      <c r="I119" s="3">
        <v>10000</v>
      </c>
      <c r="J119" s="3">
        <v>0</v>
      </c>
      <c r="K119" s="3">
        <v>2200</v>
      </c>
      <c r="L119" s="5">
        <v>1000</v>
      </c>
      <c r="M119" s="3">
        <v>470</v>
      </c>
      <c r="N119">
        <v>271.57640384514366</v>
      </c>
      <c r="O119">
        <v>3.1689249925092389</v>
      </c>
      <c r="P119" s="2">
        <v>648.3620534673903</v>
      </c>
      <c r="Q119" s="2">
        <v>6.5612404592602616</v>
      </c>
    </row>
    <row r="120" spans="7:17" x14ac:dyDescent="0.35">
      <c r="G120" s="3">
        <v>31</v>
      </c>
      <c r="H120" s="3" t="s">
        <v>49</v>
      </c>
      <c r="I120" s="3">
        <v>10000</v>
      </c>
      <c r="J120" s="3">
        <v>4700</v>
      </c>
      <c r="K120" s="3">
        <v>2200</v>
      </c>
      <c r="L120" s="5">
        <v>1000</v>
      </c>
      <c r="M120" s="3">
        <v>470</v>
      </c>
      <c r="N120">
        <v>256.74132194467893</v>
      </c>
      <c r="O120">
        <v>3.2336127436811513</v>
      </c>
      <c r="P120" s="2">
        <v>661.59716735716358</v>
      </c>
      <c r="Q120" s="2">
        <v>6.1020661161446696</v>
      </c>
    </row>
    <row r="121" spans="7:17" x14ac:dyDescent="0.35">
      <c r="G121" s="3">
        <v>0</v>
      </c>
      <c r="H121" s="3" t="s">
        <v>18</v>
      </c>
      <c r="I121" s="3">
        <v>0</v>
      </c>
      <c r="J121" s="3">
        <v>0</v>
      </c>
      <c r="K121" s="3">
        <v>0</v>
      </c>
      <c r="L121" s="5">
        <v>0</v>
      </c>
      <c r="M121" s="3">
        <v>0</v>
      </c>
      <c r="N121">
        <v>0</v>
      </c>
      <c r="O121">
        <v>0</v>
      </c>
      <c r="P121" s="2">
        <v>0</v>
      </c>
      <c r="Q121" s="2"/>
    </row>
  </sheetData>
  <sortState xmlns:xlrd2="http://schemas.microsoft.com/office/spreadsheetml/2017/richdata2" ref="P15:Y46">
    <sortCondition ref="X15:X46"/>
  </sortState>
  <mergeCells count="2">
    <mergeCell ref="L13:N13"/>
    <mergeCell ref="L49:N4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Southern</dc:creator>
  <cp:lastModifiedBy>david</cp:lastModifiedBy>
  <dcterms:created xsi:type="dcterms:W3CDTF">2022-02-17T03:44:29Z</dcterms:created>
  <dcterms:modified xsi:type="dcterms:W3CDTF">2022-03-15T03:04:34Z</dcterms:modified>
</cp:coreProperties>
</file>