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david\source\repos\space-sim\solar-system-generator\"/>
    </mc:Choice>
  </mc:AlternateContent>
  <xr:revisionPtr revIDLastSave="0" documentId="13_ncr:1_{71D571CB-9035-4A9B-B861-5CF646229F61}" xr6:coauthVersionLast="47" xr6:coauthVersionMax="47" xr10:uidLastSave="{00000000-0000-0000-0000-000000000000}"/>
  <bookViews>
    <workbookView xWindow="-11604" yWindow="648" windowWidth="30984" windowHeight="15864" xr2:uid="{00000000-000D-0000-FFFF-FFFF00000000}"/>
  </bookViews>
  <sheets>
    <sheet name="Sheet1" sheetId="1" r:id="rId1"/>
  </sheets>
  <definedNames>
    <definedName name="d">Sheet1!$AG$6</definedName>
    <definedName name="G">Sheet1!$AG$1</definedName>
    <definedName name="MBH">Sheet1!$AG$4</definedName>
    <definedName name="MSol">Sheet1!$AG$2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1" l="1"/>
  <c r="U22" i="1"/>
  <c r="T23" i="1"/>
  <c r="U23" i="1"/>
  <c r="T24" i="1"/>
  <c r="U24" i="1"/>
  <c r="T25" i="1"/>
  <c r="U25" i="1"/>
  <c r="T26" i="1"/>
  <c r="U26" i="1"/>
  <c r="T27" i="1"/>
  <c r="U27" i="1"/>
  <c r="T16" i="1"/>
  <c r="U16" i="1"/>
  <c r="T17" i="1"/>
  <c r="U17" i="1"/>
  <c r="T18" i="1"/>
  <c r="U18" i="1"/>
  <c r="T19" i="1"/>
  <c r="U19" i="1"/>
  <c r="T20" i="1"/>
  <c r="U20" i="1"/>
  <c r="T21" i="1"/>
  <c r="U21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T79" i="1"/>
  <c r="U79" i="1"/>
  <c r="T80" i="1"/>
  <c r="U80" i="1"/>
  <c r="T81" i="1"/>
  <c r="U81" i="1"/>
  <c r="AC3" i="1"/>
  <c r="AC2" i="1"/>
  <c r="W3" i="1"/>
  <c r="W46" i="1" s="1"/>
  <c r="G7" i="1"/>
  <c r="Y7" i="1"/>
  <c r="Q7" i="1"/>
  <c r="Y6" i="1"/>
  <c r="Y5" i="1"/>
  <c r="Q6" i="1"/>
  <c r="Q5" i="1"/>
  <c r="G6" i="1"/>
  <c r="G5" i="1"/>
  <c r="B4" i="1"/>
  <c r="AG7" i="1"/>
  <c r="AH8" i="1"/>
  <c r="AG5" i="1"/>
  <c r="E4" i="1"/>
  <c r="O4" i="1"/>
  <c r="E3" i="1"/>
  <c r="G34" i="1" s="1"/>
  <c r="O3" i="1"/>
  <c r="O10" i="1" s="1"/>
  <c r="M10" i="1" s="1"/>
  <c r="L4" i="1"/>
  <c r="W9" i="1" l="1"/>
  <c r="T9" i="1" s="1"/>
  <c r="V46" i="1"/>
  <c r="X46" i="1"/>
  <c r="Z46" i="1" s="1"/>
  <c r="W11" i="1"/>
  <c r="W73" i="1"/>
  <c r="W62" i="1"/>
  <c r="W47" i="1"/>
  <c r="W24" i="1"/>
  <c r="W77" i="1"/>
  <c r="W61" i="1"/>
  <c r="W14" i="1"/>
  <c r="W18" i="1"/>
  <c r="W22" i="1"/>
  <c r="W26" i="1"/>
  <c r="W30" i="1"/>
  <c r="W34" i="1"/>
  <c r="W13" i="1"/>
  <c r="W17" i="1"/>
  <c r="W21" i="1"/>
  <c r="W25" i="1"/>
  <c r="W29" i="1"/>
  <c r="W33" i="1"/>
  <c r="W37" i="1"/>
  <c r="W19" i="1"/>
  <c r="W27" i="1"/>
  <c r="W35" i="1"/>
  <c r="W40" i="1"/>
  <c r="W44" i="1"/>
  <c r="W48" i="1"/>
  <c r="W52" i="1"/>
  <c r="W56" i="1"/>
  <c r="W60" i="1"/>
  <c r="W64" i="1"/>
  <c r="W68" i="1"/>
  <c r="W72" i="1"/>
  <c r="W76" i="1"/>
  <c r="W80" i="1"/>
  <c r="W12" i="1"/>
  <c r="W20" i="1"/>
  <c r="W28" i="1"/>
  <c r="W36" i="1"/>
  <c r="W41" i="1"/>
  <c r="W45" i="1"/>
  <c r="W49" i="1"/>
  <c r="W53" i="1"/>
  <c r="W57" i="1"/>
  <c r="W78" i="1"/>
  <c r="W67" i="1"/>
  <c r="W55" i="1"/>
  <c r="W39" i="1"/>
  <c r="W10" i="1"/>
  <c r="W71" i="1"/>
  <c r="W66" i="1"/>
  <c r="W54" i="1"/>
  <c r="W38" i="1"/>
  <c r="W23" i="1"/>
  <c r="W81" i="1"/>
  <c r="W75" i="1"/>
  <c r="W70" i="1"/>
  <c r="W65" i="1"/>
  <c r="W59" i="1"/>
  <c r="W51" i="1"/>
  <c r="W43" i="1"/>
  <c r="W32" i="1"/>
  <c r="W16" i="1"/>
  <c r="W79" i="1"/>
  <c r="W74" i="1"/>
  <c r="W69" i="1"/>
  <c r="W63" i="1"/>
  <c r="W58" i="1"/>
  <c r="W50" i="1"/>
  <c r="W42" i="1"/>
  <c r="W31" i="1"/>
  <c r="W15" i="1"/>
  <c r="N10" i="1"/>
  <c r="L10" i="1"/>
  <c r="D34" i="1"/>
  <c r="E34" i="1" s="1"/>
  <c r="B34" i="1"/>
  <c r="C50" i="1"/>
  <c r="C34" i="1"/>
  <c r="C30" i="1"/>
  <c r="O68" i="1"/>
  <c r="O46" i="1"/>
  <c r="O14" i="1"/>
  <c r="O80" i="1"/>
  <c r="O64" i="1"/>
  <c r="O38" i="1"/>
  <c r="O76" i="1"/>
  <c r="O60" i="1"/>
  <c r="O30" i="1"/>
  <c r="O72" i="1"/>
  <c r="O54" i="1"/>
  <c r="O22" i="1"/>
  <c r="O79" i="1"/>
  <c r="O75" i="1"/>
  <c r="O71" i="1"/>
  <c r="O67" i="1"/>
  <c r="O63" i="1"/>
  <c r="O59" i="1"/>
  <c r="O52" i="1"/>
  <c r="O44" i="1"/>
  <c r="O36" i="1"/>
  <c r="O28" i="1"/>
  <c r="O20" i="1"/>
  <c r="O12" i="1"/>
  <c r="O78" i="1"/>
  <c r="O66" i="1"/>
  <c r="O11" i="1"/>
  <c r="O15" i="1"/>
  <c r="O19" i="1"/>
  <c r="O23" i="1"/>
  <c r="O27" i="1"/>
  <c r="O31" i="1"/>
  <c r="O35" i="1"/>
  <c r="O39" i="1"/>
  <c r="O43" i="1"/>
  <c r="O47" i="1"/>
  <c r="O51" i="1"/>
  <c r="O55" i="1"/>
  <c r="O13" i="1"/>
  <c r="O17" i="1"/>
  <c r="O21" i="1"/>
  <c r="O25" i="1"/>
  <c r="O29" i="1"/>
  <c r="O33" i="1"/>
  <c r="O37" i="1"/>
  <c r="O41" i="1"/>
  <c r="O45" i="1"/>
  <c r="O49" i="1"/>
  <c r="O53" i="1"/>
  <c r="O57" i="1"/>
  <c r="O9" i="1"/>
  <c r="O74" i="1"/>
  <c r="O70" i="1"/>
  <c r="O62" i="1"/>
  <c r="O58" i="1"/>
  <c r="O50" i="1"/>
  <c r="O42" i="1"/>
  <c r="O34" i="1"/>
  <c r="O26" i="1"/>
  <c r="O18" i="1"/>
  <c r="O81" i="1"/>
  <c r="O77" i="1"/>
  <c r="O73" i="1"/>
  <c r="O69" i="1"/>
  <c r="O65" i="1"/>
  <c r="O61" i="1"/>
  <c r="O56" i="1"/>
  <c r="O48" i="1"/>
  <c r="O40" i="1"/>
  <c r="O32" i="1"/>
  <c r="O24" i="1"/>
  <c r="O16" i="1"/>
  <c r="G9" i="1"/>
  <c r="D9" i="1" s="1"/>
  <c r="G30" i="1"/>
  <c r="B30" i="1" s="1"/>
  <c r="G26" i="1"/>
  <c r="C26" i="1" s="1"/>
  <c r="G22" i="1"/>
  <c r="D22" i="1" s="1"/>
  <c r="G14" i="1"/>
  <c r="B14" i="1" s="1"/>
  <c r="G10" i="1"/>
  <c r="D10" i="1" s="1"/>
  <c r="G80" i="1"/>
  <c r="C80" i="1" s="1"/>
  <c r="G78" i="1"/>
  <c r="B78" i="1" s="1"/>
  <c r="G76" i="1"/>
  <c r="D76" i="1" s="1"/>
  <c r="E76" i="1" s="1"/>
  <c r="G72" i="1"/>
  <c r="D72" i="1" s="1"/>
  <c r="G70" i="1"/>
  <c r="D70" i="1" s="1"/>
  <c r="E70" i="1" s="1"/>
  <c r="G68" i="1"/>
  <c r="H68" i="1" s="1"/>
  <c r="G66" i="1"/>
  <c r="J66" i="1" s="1"/>
  <c r="I66" i="1" s="1"/>
  <c r="G62" i="1"/>
  <c r="H62" i="1" s="1"/>
  <c r="G60" i="1"/>
  <c r="D60" i="1" s="1"/>
  <c r="E60" i="1" s="1"/>
  <c r="G58" i="1"/>
  <c r="C58" i="1" s="1"/>
  <c r="G54" i="1"/>
  <c r="D54" i="1" s="1"/>
  <c r="E54" i="1" s="1"/>
  <c r="G50" i="1"/>
  <c r="H50" i="1" s="1"/>
  <c r="G33" i="1"/>
  <c r="B33" i="1" s="1"/>
  <c r="G29" i="1"/>
  <c r="C29" i="1" s="1"/>
  <c r="G25" i="1"/>
  <c r="D25" i="1" s="1"/>
  <c r="G21" i="1"/>
  <c r="C21" i="1" s="1"/>
  <c r="G17" i="1"/>
  <c r="B17" i="1" s="1"/>
  <c r="G13" i="1"/>
  <c r="D13" i="1" s="1"/>
  <c r="G32" i="1"/>
  <c r="C32" i="1" s="1"/>
  <c r="G20" i="1"/>
  <c r="C20" i="1" s="1"/>
  <c r="G75" i="1"/>
  <c r="J75" i="1" s="1"/>
  <c r="I75" i="1" s="1"/>
  <c r="G28" i="1"/>
  <c r="D28" i="1" s="1"/>
  <c r="G24" i="1"/>
  <c r="D24" i="1" s="1"/>
  <c r="G16" i="1"/>
  <c r="C16" i="1" s="1"/>
  <c r="G12" i="1"/>
  <c r="D12" i="1" s="1"/>
  <c r="G31" i="1"/>
  <c r="C31" i="1" s="1"/>
  <c r="G27" i="1"/>
  <c r="B27" i="1" s="1"/>
  <c r="G23" i="1"/>
  <c r="C23" i="1" s="1"/>
  <c r="G19" i="1"/>
  <c r="C19" i="1" s="1"/>
  <c r="G15" i="1"/>
  <c r="D15" i="1" s="1"/>
  <c r="G11" i="1"/>
  <c r="B11" i="1" s="1"/>
  <c r="G81" i="1"/>
  <c r="B81" i="1" s="1"/>
  <c r="G79" i="1"/>
  <c r="D79" i="1" s="1"/>
  <c r="E79" i="1" s="1"/>
  <c r="G77" i="1"/>
  <c r="C77" i="1" s="1"/>
  <c r="G73" i="1"/>
  <c r="D73" i="1" s="1"/>
  <c r="E73" i="1" s="1"/>
  <c r="G71" i="1"/>
  <c r="C71" i="1" s="1"/>
  <c r="G69" i="1"/>
  <c r="C69" i="1" s="1"/>
  <c r="G67" i="1"/>
  <c r="D67" i="1" s="1"/>
  <c r="G65" i="1"/>
  <c r="B65" i="1" s="1"/>
  <c r="G63" i="1"/>
  <c r="C63" i="1" s="1"/>
  <c r="G61" i="1"/>
  <c r="B61" i="1" s="1"/>
  <c r="G59" i="1"/>
  <c r="B59" i="1" s="1"/>
  <c r="G57" i="1"/>
  <c r="D57" i="1" s="1"/>
  <c r="E57" i="1" s="1"/>
  <c r="G55" i="1"/>
  <c r="C55" i="1" s="1"/>
  <c r="G53" i="1"/>
  <c r="C53" i="1" s="1"/>
  <c r="G51" i="1"/>
  <c r="C51" i="1" s="1"/>
  <c r="G49" i="1"/>
  <c r="B49" i="1" s="1"/>
  <c r="G47" i="1"/>
  <c r="D47" i="1" s="1"/>
  <c r="G45" i="1"/>
  <c r="C45" i="1" s="1"/>
  <c r="G43" i="1"/>
  <c r="B43" i="1" s="1"/>
  <c r="G41" i="1"/>
  <c r="D41" i="1" s="1"/>
  <c r="E41" i="1" s="1"/>
  <c r="G39" i="1"/>
  <c r="D39" i="1" s="1"/>
  <c r="G37" i="1"/>
  <c r="C37" i="1" s="1"/>
  <c r="G35" i="1"/>
  <c r="B35" i="1" s="1"/>
  <c r="G18" i="1"/>
  <c r="D18" i="1" s="1"/>
  <c r="G74" i="1"/>
  <c r="H74" i="1" s="1"/>
  <c r="G64" i="1"/>
  <c r="H64" i="1" s="1"/>
  <c r="G56" i="1"/>
  <c r="D56" i="1" s="1"/>
  <c r="G52" i="1"/>
  <c r="C52" i="1" s="1"/>
  <c r="G48" i="1"/>
  <c r="C48" i="1" s="1"/>
  <c r="G46" i="1"/>
  <c r="B46" i="1" s="1"/>
  <c r="G44" i="1"/>
  <c r="D44" i="1" s="1"/>
  <c r="G42" i="1"/>
  <c r="C42" i="1" s="1"/>
  <c r="G40" i="1"/>
  <c r="J40" i="1" s="1"/>
  <c r="I40" i="1" s="1"/>
  <c r="G38" i="1"/>
  <c r="D38" i="1" s="1"/>
  <c r="E38" i="1" s="1"/>
  <c r="G36" i="1"/>
  <c r="C36" i="1" s="1"/>
  <c r="H80" i="1"/>
  <c r="H66" i="1"/>
  <c r="J46" i="1"/>
  <c r="I46" i="1" s="1"/>
  <c r="J80" i="1"/>
  <c r="I80" i="1" s="1"/>
  <c r="R80" i="1" s="1"/>
  <c r="Q80" i="1" s="1"/>
  <c r="H34" i="1"/>
  <c r="J34" i="1"/>
  <c r="I34" i="1" s="1"/>
  <c r="W4" i="1"/>
  <c r="B5" i="1"/>
  <c r="T4" i="1"/>
  <c r="T5" i="1" s="1"/>
  <c r="L5" i="1"/>
  <c r="Y46" i="1" l="1"/>
  <c r="AA46" i="1" s="1"/>
  <c r="D80" i="1"/>
  <c r="E80" i="1" s="1"/>
  <c r="J42" i="1"/>
  <c r="I42" i="1" s="1"/>
  <c r="H70" i="1"/>
  <c r="B80" i="1"/>
  <c r="C62" i="1"/>
  <c r="D55" i="1"/>
  <c r="H60" i="1"/>
  <c r="B21" i="1"/>
  <c r="D61" i="1"/>
  <c r="E61" i="1" s="1"/>
  <c r="J64" i="1"/>
  <c r="I64" i="1" s="1"/>
  <c r="B53" i="1"/>
  <c r="D23" i="1"/>
  <c r="H38" i="1"/>
  <c r="C75" i="1"/>
  <c r="C40" i="1"/>
  <c r="C72" i="1"/>
  <c r="B63" i="1"/>
  <c r="B79" i="1"/>
  <c r="B54" i="1"/>
  <c r="B25" i="1"/>
  <c r="B57" i="1"/>
  <c r="C27" i="1"/>
  <c r="B18" i="1"/>
  <c r="B66" i="1"/>
  <c r="C73" i="1"/>
  <c r="B48" i="1"/>
  <c r="D14" i="1"/>
  <c r="E14" i="1" s="1"/>
  <c r="D42" i="1"/>
  <c r="E42" i="1" s="1"/>
  <c r="D48" i="1"/>
  <c r="E48" i="1" s="1"/>
  <c r="D66" i="1"/>
  <c r="E66" i="1" s="1"/>
  <c r="D63" i="1"/>
  <c r="D65" i="1"/>
  <c r="E65" i="1" s="1"/>
  <c r="D75" i="1"/>
  <c r="E75" i="1" s="1"/>
  <c r="C11" i="1"/>
  <c r="C57" i="1"/>
  <c r="B32" i="1"/>
  <c r="C66" i="1"/>
  <c r="B37" i="1"/>
  <c r="B69" i="1"/>
  <c r="C47" i="1"/>
  <c r="B9" i="1"/>
  <c r="C76" i="1"/>
  <c r="C25" i="1"/>
  <c r="B16" i="1"/>
  <c r="B52" i="1"/>
  <c r="F52" i="1" s="1"/>
  <c r="D26" i="1"/>
  <c r="D16" i="1"/>
  <c r="D52" i="1"/>
  <c r="E52" i="1" s="1"/>
  <c r="D19" i="1"/>
  <c r="D45" i="1"/>
  <c r="E45" i="1" s="1"/>
  <c r="D81" i="1"/>
  <c r="C18" i="1"/>
  <c r="D32" i="1"/>
  <c r="J52" i="1"/>
  <c r="I52" i="1" s="1"/>
  <c r="J76" i="1"/>
  <c r="I76" i="1" s="1"/>
  <c r="H52" i="1"/>
  <c r="H54" i="1"/>
  <c r="H42" i="1"/>
  <c r="J54" i="1"/>
  <c r="I54" i="1" s="1"/>
  <c r="H76" i="1"/>
  <c r="C14" i="1"/>
  <c r="C46" i="1"/>
  <c r="C9" i="1"/>
  <c r="B41" i="1"/>
  <c r="B73" i="1"/>
  <c r="F73" i="1" s="1"/>
  <c r="B50" i="1"/>
  <c r="C24" i="1"/>
  <c r="B47" i="1"/>
  <c r="C41" i="1"/>
  <c r="B20" i="1"/>
  <c r="B64" i="1"/>
  <c r="D30" i="1"/>
  <c r="D20" i="1"/>
  <c r="D64" i="1"/>
  <c r="E64" i="1" s="1"/>
  <c r="D27" i="1"/>
  <c r="D49" i="1"/>
  <c r="E49" i="1" s="1"/>
  <c r="D11" i="1"/>
  <c r="E11" i="1" s="1"/>
  <c r="C78" i="1"/>
  <c r="C43" i="1"/>
  <c r="C59" i="1"/>
  <c r="C56" i="1"/>
  <c r="D29" i="1"/>
  <c r="D43" i="1"/>
  <c r="E43" i="1" s="1"/>
  <c r="C15" i="1"/>
  <c r="B70" i="1"/>
  <c r="C12" i="1"/>
  <c r="C28" i="1"/>
  <c r="C44" i="1"/>
  <c r="C60" i="1"/>
  <c r="B19" i="1"/>
  <c r="B51" i="1"/>
  <c r="C13" i="1"/>
  <c r="C61" i="1"/>
  <c r="F61" i="1" s="1"/>
  <c r="B36" i="1"/>
  <c r="D36" i="1"/>
  <c r="E36" i="1" s="1"/>
  <c r="D17" i="1"/>
  <c r="D33" i="1"/>
  <c r="D51" i="1"/>
  <c r="E51" i="1" s="1"/>
  <c r="J70" i="1"/>
  <c r="I70" i="1" s="1"/>
  <c r="C22" i="1"/>
  <c r="C38" i="1"/>
  <c r="C54" i="1"/>
  <c r="F54" i="1" s="1"/>
  <c r="C70" i="1"/>
  <c r="B13" i="1"/>
  <c r="B29" i="1"/>
  <c r="B45" i="1"/>
  <c r="B77" i="1"/>
  <c r="C35" i="1"/>
  <c r="C67" i="1"/>
  <c r="B10" i="1"/>
  <c r="B26" i="1"/>
  <c r="B42" i="1"/>
  <c r="F42" i="1" s="1"/>
  <c r="B58" i="1"/>
  <c r="B74" i="1"/>
  <c r="C64" i="1"/>
  <c r="B23" i="1"/>
  <c r="B39" i="1"/>
  <c r="B55" i="1"/>
  <c r="B71" i="1"/>
  <c r="C17" i="1"/>
  <c r="C33" i="1"/>
  <c r="C49" i="1"/>
  <c r="C65" i="1"/>
  <c r="F65" i="1" s="1"/>
  <c r="C81" i="1"/>
  <c r="B24" i="1"/>
  <c r="B40" i="1"/>
  <c r="B56" i="1"/>
  <c r="B72" i="1"/>
  <c r="D50" i="1"/>
  <c r="E50" i="1" s="1"/>
  <c r="D74" i="1"/>
  <c r="E74" i="1" s="1"/>
  <c r="D40" i="1"/>
  <c r="E40" i="1" s="1"/>
  <c r="D78" i="1"/>
  <c r="E78" i="1" s="1"/>
  <c r="D35" i="1"/>
  <c r="E35" i="1" s="1"/>
  <c r="D71" i="1"/>
  <c r="E71" i="1" s="1"/>
  <c r="D21" i="1"/>
  <c r="D37" i="1"/>
  <c r="E37" i="1" s="1"/>
  <c r="D53" i="1"/>
  <c r="E53" i="1" s="1"/>
  <c r="D69" i="1"/>
  <c r="E69" i="1" s="1"/>
  <c r="D62" i="1"/>
  <c r="D31" i="1"/>
  <c r="D59" i="1"/>
  <c r="E59" i="1" s="1"/>
  <c r="B15" i="1"/>
  <c r="B31" i="1"/>
  <c r="D58" i="1"/>
  <c r="E58" i="1" s="1"/>
  <c r="D77" i="1"/>
  <c r="E77" i="1" s="1"/>
  <c r="C79" i="1"/>
  <c r="F79" i="1" s="1"/>
  <c r="B22" i="1"/>
  <c r="B38" i="1"/>
  <c r="B67" i="1"/>
  <c r="B68" i="1"/>
  <c r="D46" i="1"/>
  <c r="E46" i="1" s="1"/>
  <c r="D68" i="1"/>
  <c r="J38" i="1"/>
  <c r="I38" i="1" s="1"/>
  <c r="R38" i="1" s="1"/>
  <c r="Q38" i="1" s="1"/>
  <c r="J60" i="1"/>
  <c r="I60" i="1" s="1"/>
  <c r="H46" i="1"/>
  <c r="H75" i="1"/>
  <c r="C10" i="1"/>
  <c r="C74" i="1"/>
  <c r="C39" i="1"/>
  <c r="B62" i="1"/>
  <c r="C68" i="1"/>
  <c r="B75" i="1"/>
  <c r="B12" i="1"/>
  <c r="B28" i="1"/>
  <c r="B44" i="1"/>
  <c r="B60" i="1"/>
  <c r="B76" i="1"/>
  <c r="V79" i="1"/>
  <c r="X79" i="1"/>
  <c r="Z79" i="1" s="1"/>
  <c r="Y79" i="1" s="1"/>
  <c r="AA79" i="1" s="1"/>
  <c r="V75" i="1"/>
  <c r="X75" i="1"/>
  <c r="Z75" i="1" s="1"/>
  <c r="Y75" i="1" s="1"/>
  <c r="AA75" i="1" s="1"/>
  <c r="V57" i="1"/>
  <c r="X57" i="1"/>
  <c r="Z57" i="1" s="1"/>
  <c r="Y57" i="1" s="1"/>
  <c r="AA57" i="1" s="1"/>
  <c r="U12" i="1"/>
  <c r="V12" i="1"/>
  <c r="T12" i="1"/>
  <c r="X12" i="1"/>
  <c r="Z12" i="1" s="1"/>
  <c r="Y12" i="1" s="1"/>
  <c r="AA12" i="1" s="1"/>
  <c r="X68" i="1"/>
  <c r="Z68" i="1" s="1"/>
  <c r="Y68" i="1" s="1"/>
  <c r="AA68" i="1" s="1"/>
  <c r="V68" i="1"/>
  <c r="X33" i="1"/>
  <c r="Z33" i="1" s="1"/>
  <c r="Y33" i="1" s="1"/>
  <c r="AA33" i="1" s="1"/>
  <c r="V33" i="1"/>
  <c r="V26" i="1"/>
  <c r="X26" i="1"/>
  <c r="Z26" i="1" s="1"/>
  <c r="Y26" i="1" s="1"/>
  <c r="AA26" i="1" s="1"/>
  <c r="V61" i="1"/>
  <c r="X61" i="1"/>
  <c r="Z61" i="1" s="1"/>
  <c r="Y61" i="1" s="1"/>
  <c r="AA61" i="1" s="1"/>
  <c r="X31" i="1"/>
  <c r="Z31" i="1" s="1"/>
  <c r="Y31" i="1" s="1"/>
  <c r="AA31" i="1" s="1"/>
  <c r="V31" i="1"/>
  <c r="V63" i="1"/>
  <c r="X63" i="1"/>
  <c r="Z63" i="1" s="1"/>
  <c r="Y63" i="1" s="1"/>
  <c r="AA63" i="1" s="1"/>
  <c r="V16" i="1"/>
  <c r="X16" i="1"/>
  <c r="Z16" i="1" s="1"/>
  <c r="Y16" i="1" s="1"/>
  <c r="AA16" i="1" s="1"/>
  <c r="V59" i="1"/>
  <c r="X59" i="1"/>
  <c r="Z59" i="1" s="1"/>
  <c r="Y59" i="1" s="1"/>
  <c r="AA59" i="1" s="1"/>
  <c r="V81" i="1"/>
  <c r="X81" i="1"/>
  <c r="Z81" i="1" s="1"/>
  <c r="Y81" i="1" s="1"/>
  <c r="AA81" i="1" s="1"/>
  <c r="V66" i="1"/>
  <c r="X66" i="1"/>
  <c r="Z66" i="1" s="1"/>
  <c r="Y66" i="1" s="1"/>
  <c r="AA66" i="1" s="1"/>
  <c r="V55" i="1"/>
  <c r="X55" i="1"/>
  <c r="Z55" i="1" s="1"/>
  <c r="Y55" i="1" s="1"/>
  <c r="AA55" i="1" s="1"/>
  <c r="V53" i="1"/>
  <c r="X53" i="1"/>
  <c r="Z53" i="1" s="1"/>
  <c r="Y53" i="1" s="1"/>
  <c r="AA53" i="1" s="1"/>
  <c r="X36" i="1"/>
  <c r="Z36" i="1" s="1"/>
  <c r="Y36" i="1" s="1"/>
  <c r="AA36" i="1" s="1"/>
  <c r="V36" i="1"/>
  <c r="X80" i="1"/>
  <c r="Z80" i="1" s="1"/>
  <c r="Y80" i="1" s="1"/>
  <c r="AA80" i="1" s="1"/>
  <c r="V80" i="1"/>
  <c r="X64" i="1"/>
  <c r="Z64" i="1" s="1"/>
  <c r="Y64" i="1" s="1"/>
  <c r="AA64" i="1" s="1"/>
  <c r="V64" i="1"/>
  <c r="X48" i="1"/>
  <c r="Z48" i="1" s="1"/>
  <c r="Y48" i="1" s="1"/>
  <c r="AA48" i="1" s="1"/>
  <c r="V48" i="1"/>
  <c r="X27" i="1"/>
  <c r="Z27" i="1" s="1"/>
  <c r="Y27" i="1" s="1"/>
  <c r="AA27" i="1" s="1"/>
  <c r="V27" i="1"/>
  <c r="X29" i="1"/>
  <c r="Z29" i="1" s="1"/>
  <c r="Y29" i="1" s="1"/>
  <c r="AA29" i="1" s="1"/>
  <c r="V29" i="1"/>
  <c r="X13" i="1"/>
  <c r="Z13" i="1" s="1"/>
  <c r="Y13" i="1" s="1"/>
  <c r="AA13" i="1" s="1"/>
  <c r="U13" i="1"/>
  <c r="V13" i="1"/>
  <c r="T13" i="1"/>
  <c r="V22" i="1"/>
  <c r="X22" i="1"/>
  <c r="Z22" i="1" s="1"/>
  <c r="Y22" i="1" s="1"/>
  <c r="AA22" i="1" s="1"/>
  <c r="V77" i="1"/>
  <c r="X77" i="1"/>
  <c r="Z77" i="1" s="1"/>
  <c r="Y77" i="1" s="1"/>
  <c r="AA77" i="1" s="1"/>
  <c r="V62" i="1"/>
  <c r="X62" i="1"/>
  <c r="Z62" i="1" s="1"/>
  <c r="Y62" i="1" s="1"/>
  <c r="AA62" i="1" s="1"/>
  <c r="X15" i="1"/>
  <c r="Z15" i="1" s="1"/>
  <c r="Y15" i="1" s="1"/>
  <c r="AA15" i="1" s="1"/>
  <c r="U15" i="1"/>
  <c r="V15" i="1"/>
  <c r="T15" i="1"/>
  <c r="V58" i="1"/>
  <c r="X58" i="1"/>
  <c r="Z58" i="1" s="1"/>
  <c r="Y58" i="1" s="1"/>
  <c r="AA58" i="1" s="1"/>
  <c r="V51" i="1"/>
  <c r="X51" i="1"/>
  <c r="Z51" i="1" s="1"/>
  <c r="Y51" i="1" s="1"/>
  <c r="AA51" i="1" s="1"/>
  <c r="V39" i="1"/>
  <c r="X39" i="1"/>
  <c r="Z39" i="1" s="1"/>
  <c r="Y39" i="1" s="1"/>
  <c r="AA39" i="1" s="1"/>
  <c r="V41" i="1"/>
  <c r="X41" i="1"/>
  <c r="Z41" i="1" s="1"/>
  <c r="Y41" i="1" s="1"/>
  <c r="AA41" i="1" s="1"/>
  <c r="X52" i="1"/>
  <c r="Z52" i="1" s="1"/>
  <c r="Y52" i="1" s="1"/>
  <c r="AA52" i="1" s="1"/>
  <c r="V52" i="1"/>
  <c r="V35" i="1"/>
  <c r="X35" i="1"/>
  <c r="Z35" i="1" s="1"/>
  <c r="Y35" i="1" s="1"/>
  <c r="AA35" i="1" s="1"/>
  <c r="X17" i="1"/>
  <c r="Z17" i="1" s="1"/>
  <c r="Y17" i="1" s="1"/>
  <c r="AA17" i="1" s="1"/>
  <c r="V17" i="1"/>
  <c r="V47" i="1"/>
  <c r="X47" i="1"/>
  <c r="Z47" i="1" s="1"/>
  <c r="Y47" i="1" s="1"/>
  <c r="AA47" i="1" s="1"/>
  <c r="V42" i="1"/>
  <c r="X42" i="1"/>
  <c r="Z42" i="1" s="1"/>
  <c r="Y42" i="1" s="1"/>
  <c r="AA42" i="1" s="1"/>
  <c r="V69" i="1"/>
  <c r="X69" i="1"/>
  <c r="Z69" i="1" s="1"/>
  <c r="Y69" i="1" s="1"/>
  <c r="AA69" i="1" s="1"/>
  <c r="V32" i="1"/>
  <c r="X32" i="1"/>
  <c r="Z32" i="1" s="1"/>
  <c r="Y32" i="1" s="1"/>
  <c r="AA32" i="1" s="1"/>
  <c r="V65" i="1"/>
  <c r="X65" i="1"/>
  <c r="Z65" i="1" s="1"/>
  <c r="Y65" i="1" s="1"/>
  <c r="AA65" i="1" s="1"/>
  <c r="X23" i="1"/>
  <c r="Z23" i="1" s="1"/>
  <c r="Y23" i="1" s="1"/>
  <c r="AA23" i="1" s="1"/>
  <c r="V23" i="1"/>
  <c r="V71" i="1"/>
  <c r="X71" i="1"/>
  <c r="Z71" i="1" s="1"/>
  <c r="Y71" i="1" s="1"/>
  <c r="AA71" i="1" s="1"/>
  <c r="V67" i="1"/>
  <c r="X67" i="1"/>
  <c r="Z67" i="1" s="1"/>
  <c r="Y67" i="1" s="1"/>
  <c r="AA67" i="1" s="1"/>
  <c r="V49" i="1"/>
  <c r="X49" i="1"/>
  <c r="Z49" i="1" s="1"/>
  <c r="Y49" i="1" s="1"/>
  <c r="AA49" i="1" s="1"/>
  <c r="V28" i="1"/>
  <c r="X28" i="1"/>
  <c r="Z28" i="1" s="1"/>
  <c r="Y28" i="1" s="1"/>
  <c r="AA28" i="1" s="1"/>
  <c r="X76" i="1"/>
  <c r="Z76" i="1" s="1"/>
  <c r="Y76" i="1" s="1"/>
  <c r="AA76" i="1" s="1"/>
  <c r="V76" i="1"/>
  <c r="X60" i="1"/>
  <c r="Z60" i="1" s="1"/>
  <c r="Y60" i="1" s="1"/>
  <c r="AA60" i="1" s="1"/>
  <c r="V60" i="1"/>
  <c r="X44" i="1"/>
  <c r="Z44" i="1" s="1"/>
  <c r="Y44" i="1" s="1"/>
  <c r="AA44" i="1" s="1"/>
  <c r="V44" i="1"/>
  <c r="X19" i="1"/>
  <c r="Z19" i="1" s="1"/>
  <c r="Y19" i="1" s="1"/>
  <c r="AA19" i="1" s="1"/>
  <c r="V19" i="1"/>
  <c r="X25" i="1"/>
  <c r="Z25" i="1" s="1"/>
  <c r="Y25" i="1" s="1"/>
  <c r="AA25" i="1" s="1"/>
  <c r="V25" i="1"/>
  <c r="V34" i="1"/>
  <c r="X34" i="1"/>
  <c r="Z34" i="1" s="1"/>
  <c r="Y34" i="1" s="1"/>
  <c r="AA34" i="1" s="1"/>
  <c r="V18" i="1"/>
  <c r="X18" i="1"/>
  <c r="Z18" i="1" s="1"/>
  <c r="Y18" i="1" s="1"/>
  <c r="AA18" i="1" s="1"/>
  <c r="V9" i="1"/>
  <c r="U9" i="1"/>
  <c r="V73" i="1"/>
  <c r="X73" i="1"/>
  <c r="Z73" i="1" s="1"/>
  <c r="Y73" i="1" s="1"/>
  <c r="AA73" i="1" s="1"/>
  <c r="V54" i="1"/>
  <c r="X54" i="1"/>
  <c r="Z54" i="1" s="1"/>
  <c r="Y54" i="1" s="1"/>
  <c r="AA54" i="1" s="1"/>
  <c r="V50" i="1"/>
  <c r="X50" i="1"/>
  <c r="Z50" i="1" s="1"/>
  <c r="Y50" i="1" s="1"/>
  <c r="AA50" i="1" s="1"/>
  <c r="V74" i="1"/>
  <c r="X74" i="1"/>
  <c r="Z74" i="1" s="1"/>
  <c r="Y74" i="1" s="1"/>
  <c r="AA74" i="1" s="1"/>
  <c r="V43" i="1"/>
  <c r="X43" i="1"/>
  <c r="Z43" i="1" s="1"/>
  <c r="Y43" i="1" s="1"/>
  <c r="AA43" i="1" s="1"/>
  <c r="V70" i="1"/>
  <c r="X70" i="1"/>
  <c r="Z70" i="1" s="1"/>
  <c r="Y70" i="1" s="1"/>
  <c r="AA70" i="1" s="1"/>
  <c r="V38" i="1"/>
  <c r="X38" i="1"/>
  <c r="Z38" i="1" s="1"/>
  <c r="Y38" i="1" s="1"/>
  <c r="AA38" i="1" s="1"/>
  <c r="U10" i="1"/>
  <c r="T10" i="1"/>
  <c r="V10" i="1"/>
  <c r="X10" i="1"/>
  <c r="Z10" i="1" s="1"/>
  <c r="Y10" i="1" s="1"/>
  <c r="AA10" i="1" s="1"/>
  <c r="V78" i="1"/>
  <c r="X78" i="1"/>
  <c r="Z78" i="1" s="1"/>
  <c r="Y78" i="1" s="1"/>
  <c r="AA78" i="1" s="1"/>
  <c r="V45" i="1"/>
  <c r="X45" i="1"/>
  <c r="Z45" i="1" s="1"/>
  <c r="Y45" i="1" s="1"/>
  <c r="AA45" i="1" s="1"/>
  <c r="V20" i="1"/>
  <c r="X20" i="1"/>
  <c r="Z20" i="1" s="1"/>
  <c r="Y20" i="1" s="1"/>
  <c r="AA20" i="1" s="1"/>
  <c r="X72" i="1"/>
  <c r="Z72" i="1" s="1"/>
  <c r="Y72" i="1" s="1"/>
  <c r="AA72" i="1" s="1"/>
  <c r="V72" i="1"/>
  <c r="X56" i="1"/>
  <c r="Z56" i="1" s="1"/>
  <c r="Y56" i="1" s="1"/>
  <c r="AA56" i="1" s="1"/>
  <c r="V56" i="1"/>
  <c r="X40" i="1"/>
  <c r="Z40" i="1" s="1"/>
  <c r="Y40" i="1" s="1"/>
  <c r="AA40" i="1" s="1"/>
  <c r="V40" i="1"/>
  <c r="V37" i="1"/>
  <c r="X37" i="1"/>
  <c r="Z37" i="1" s="1"/>
  <c r="Y37" i="1" s="1"/>
  <c r="AA37" i="1" s="1"/>
  <c r="X21" i="1"/>
  <c r="Z21" i="1" s="1"/>
  <c r="Y21" i="1" s="1"/>
  <c r="AA21" i="1" s="1"/>
  <c r="V21" i="1"/>
  <c r="V30" i="1"/>
  <c r="X30" i="1"/>
  <c r="Z30" i="1" s="1"/>
  <c r="Y30" i="1" s="1"/>
  <c r="AA30" i="1" s="1"/>
  <c r="U14" i="1"/>
  <c r="T14" i="1"/>
  <c r="V14" i="1"/>
  <c r="X14" i="1"/>
  <c r="Z14" i="1" s="1"/>
  <c r="Y14" i="1" s="1"/>
  <c r="AA14" i="1" s="1"/>
  <c r="V24" i="1"/>
  <c r="X24" i="1"/>
  <c r="Z24" i="1" s="1"/>
  <c r="Y24" i="1" s="1"/>
  <c r="AA24" i="1" s="1"/>
  <c r="X11" i="1"/>
  <c r="Z11" i="1" s="1"/>
  <c r="Y11" i="1" s="1"/>
  <c r="AA11" i="1" s="1"/>
  <c r="U11" i="1"/>
  <c r="V11" i="1"/>
  <c r="T11" i="1"/>
  <c r="R42" i="1"/>
  <c r="Q42" i="1" s="1"/>
  <c r="L61" i="1"/>
  <c r="N61" i="1"/>
  <c r="M61" i="1"/>
  <c r="M34" i="1"/>
  <c r="L34" i="1"/>
  <c r="N34" i="1"/>
  <c r="M62" i="1"/>
  <c r="L62" i="1"/>
  <c r="N62" i="1"/>
  <c r="L41" i="1"/>
  <c r="N41" i="1"/>
  <c r="M41" i="1"/>
  <c r="N39" i="1"/>
  <c r="M39" i="1"/>
  <c r="L39" i="1"/>
  <c r="M66" i="1"/>
  <c r="L66" i="1"/>
  <c r="N66" i="1"/>
  <c r="N59" i="1"/>
  <c r="L59" i="1"/>
  <c r="M59" i="1"/>
  <c r="M72" i="1"/>
  <c r="N72" i="1"/>
  <c r="L72" i="1"/>
  <c r="M38" i="1"/>
  <c r="L38" i="1"/>
  <c r="N38" i="1"/>
  <c r="M40" i="1"/>
  <c r="N40" i="1"/>
  <c r="L40" i="1"/>
  <c r="L81" i="1"/>
  <c r="N81" i="1"/>
  <c r="M81" i="1"/>
  <c r="M70" i="1"/>
  <c r="L70" i="1"/>
  <c r="N70" i="1"/>
  <c r="L37" i="1"/>
  <c r="N37" i="1"/>
  <c r="M37" i="1"/>
  <c r="N35" i="1"/>
  <c r="L35" i="1"/>
  <c r="M35" i="1"/>
  <c r="M78" i="1"/>
  <c r="L78" i="1"/>
  <c r="N78" i="1"/>
  <c r="N63" i="1"/>
  <c r="M63" i="1"/>
  <c r="L63" i="1"/>
  <c r="N79" i="1"/>
  <c r="M79" i="1"/>
  <c r="L79" i="1"/>
  <c r="N68" i="1"/>
  <c r="M68" i="1"/>
  <c r="L68" i="1"/>
  <c r="R46" i="1"/>
  <c r="Q46" i="1" s="1"/>
  <c r="M16" i="1"/>
  <c r="N16" i="1"/>
  <c r="L16" i="1"/>
  <c r="M48" i="1"/>
  <c r="N48" i="1"/>
  <c r="L48" i="1"/>
  <c r="L69" i="1"/>
  <c r="N69" i="1"/>
  <c r="M69" i="1"/>
  <c r="M18" i="1"/>
  <c r="L18" i="1"/>
  <c r="N18" i="1"/>
  <c r="M50" i="1"/>
  <c r="L50" i="1"/>
  <c r="N50" i="1"/>
  <c r="M74" i="1"/>
  <c r="L74" i="1"/>
  <c r="N74" i="1"/>
  <c r="L49" i="1"/>
  <c r="N49" i="1"/>
  <c r="M49" i="1"/>
  <c r="L33" i="1"/>
  <c r="N33" i="1"/>
  <c r="M33" i="1"/>
  <c r="L17" i="1"/>
  <c r="N17" i="1"/>
  <c r="M17" i="1"/>
  <c r="N47" i="1"/>
  <c r="M47" i="1"/>
  <c r="L47" i="1"/>
  <c r="N31" i="1"/>
  <c r="M31" i="1"/>
  <c r="L31" i="1"/>
  <c r="N15" i="1"/>
  <c r="L15" i="1"/>
  <c r="M15" i="1"/>
  <c r="M12" i="1"/>
  <c r="N12" i="1"/>
  <c r="L12" i="1"/>
  <c r="N44" i="1"/>
  <c r="M44" i="1"/>
  <c r="L44" i="1"/>
  <c r="N67" i="1"/>
  <c r="L67" i="1"/>
  <c r="M67" i="1"/>
  <c r="M22" i="1"/>
  <c r="L22" i="1"/>
  <c r="N22" i="1"/>
  <c r="N60" i="1"/>
  <c r="M60" i="1"/>
  <c r="L60" i="1"/>
  <c r="M80" i="1"/>
  <c r="N80" i="1"/>
  <c r="L80" i="1"/>
  <c r="M32" i="1"/>
  <c r="N32" i="1"/>
  <c r="L32" i="1"/>
  <c r="L77" i="1"/>
  <c r="N77" i="1"/>
  <c r="M77" i="1"/>
  <c r="L57" i="1"/>
  <c r="N57" i="1"/>
  <c r="M57" i="1"/>
  <c r="L25" i="1"/>
  <c r="N25" i="1"/>
  <c r="M25" i="1"/>
  <c r="N55" i="1"/>
  <c r="M55" i="1"/>
  <c r="L55" i="1"/>
  <c r="N23" i="1"/>
  <c r="M23" i="1"/>
  <c r="L23" i="1"/>
  <c r="N28" i="1"/>
  <c r="M28" i="1"/>
  <c r="L28" i="1"/>
  <c r="N75" i="1"/>
  <c r="L75" i="1"/>
  <c r="M75" i="1"/>
  <c r="M46" i="1"/>
  <c r="L46" i="1"/>
  <c r="N46" i="1"/>
  <c r="L65" i="1"/>
  <c r="N65" i="1"/>
  <c r="M65" i="1"/>
  <c r="M42" i="1"/>
  <c r="L42" i="1"/>
  <c r="N42" i="1"/>
  <c r="L53" i="1"/>
  <c r="N53" i="1"/>
  <c r="M53" i="1"/>
  <c r="L21" i="1"/>
  <c r="N21" i="1"/>
  <c r="M21" i="1"/>
  <c r="N51" i="1"/>
  <c r="L51" i="1"/>
  <c r="M51" i="1"/>
  <c r="N19" i="1"/>
  <c r="L19" i="1"/>
  <c r="M19" i="1"/>
  <c r="N36" i="1"/>
  <c r="M36" i="1"/>
  <c r="L36" i="1"/>
  <c r="M30" i="1"/>
  <c r="L30" i="1"/>
  <c r="N30" i="1"/>
  <c r="M64" i="1"/>
  <c r="N64" i="1"/>
  <c r="L64" i="1"/>
  <c r="R64" i="1"/>
  <c r="Q64" i="1" s="1"/>
  <c r="R75" i="1"/>
  <c r="Q75" i="1" s="1"/>
  <c r="M24" i="1"/>
  <c r="N24" i="1"/>
  <c r="L24" i="1"/>
  <c r="M56" i="1"/>
  <c r="N56" i="1"/>
  <c r="L56" i="1"/>
  <c r="L73" i="1"/>
  <c r="N73" i="1"/>
  <c r="M73" i="1"/>
  <c r="M26" i="1"/>
  <c r="L26" i="1"/>
  <c r="N26" i="1"/>
  <c r="M58" i="1"/>
  <c r="L58" i="1"/>
  <c r="N58" i="1"/>
  <c r="M9" i="1"/>
  <c r="L9" i="1"/>
  <c r="N9" i="1"/>
  <c r="L45" i="1"/>
  <c r="N45" i="1"/>
  <c r="M45" i="1"/>
  <c r="L29" i="1"/>
  <c r="N29" i="1"/>
  <c r="M29" i="1"/>
  <c r="L13" i="1"/>
  <c r="N13" i="1"/>
  <c r="M13" i="1"/>
  <c r="N43" i="1"/>
  <c r="L43" i="1"/>
  <c r="M43" i="1"/>
  <c r="N27" i="1"/>
  <c r="L27" i="1"/>
  <c r="M27" i="1"/>
  <c r="N11" i="1"/>
  <c r="M11" i="1"/>
  <c r="L11" i="1"/>
  <c r="N20" i="1"/>
  <c r="M20" i="1"/>
  <c r="L20" i="1"/>
  <c r="N52" i="1"/>
  <c r="M52" i="1"/>
  <c r="L52" i="1"/>
  <c r="N71" i="1"/>
  <c r="M71" i="1"/>
  <c r="L71" i="1"/>
  <c r="M54" i="1"/>
  <c r="L54" i="1"/>
  <c r="N54" i="1"/>
  <c r="N76" i="1"/>
  <c r="M76" i="1"/>
  <c r="L76" i="1"/>
  <c r="M14" i="1"/>
  <c r="L14" i="1"/>
  <c r="N14" i="1"/>
  <c r="E47" i="1"/>
  <c r="R70" i="1"/>
  <c r="Q70" i="1" s="1"/>
  <c r="R34" i="1"/>
  <c r="Q34" i="1" s="1"/>
  <c r="R66" i="1"/>
  <c r="Q66" i="1" s="1"/>
  <c r="E39" i="1"/>
  <c r="R54" i="1"/>
  <c r="Q54" i="1" s="1"/>
  <c r="R60" i="1"/>
  <c r="Q60" i="1" s="1"/>
  <c r="R76" i="1"/>
  <c r="Q76" i="1" s="1"/>
  <c r="R52" i="1"/>
  <c r="Q52" i="1" s="1"/>
  <c r="E62" i="1"/>
  <c r="H72" i="1"/>
  <c r="J74" i="1"/>
  <c r="I74" i="1" s="1"/>
  <c r="R74" i="1" s="1"/>
  <c r="Q74" i="1" s="1"/>
  <c r="P75" i="1"/>
  <c r="R40" i="1"/>
  <c r="Q40" i="1" s="1"/>
  <c r="P40" i="1"/>
  <c r="P80" i="1"/>
  <c r="P64" i="1"/>
  <c r="J48" i="1"/>
  <c r="I48" i="1" s="1"/>
  <c r="E72" i="1"/>
  <c r="H40" i="1"/>
  <c r="J50" i="1"/>
  <c r="I50" i="1" s="1"/>
  <c r="J62" i="1"/>
  <c r="I62" i="1" s="1"/>
  <c r="E55" i="1"/>
  <c r="E81" i="1"/>
  <c r="P70" i="1"/>
  <c r="P54" i="1"/>
  <c r="P46" i="1"/>
  <c r="P38" i="1"/>
  <c r="J72" i="1"/>
  <c r="I72" i="1" s="1"/>
  <c r="P76" i="1"/>
  <c r="P60" i="1"/>
  <c r="P52" i="1"/>
  <c r="H48" i="1"/>
  <c r="E63" i="1"/>
  <c r="P74" i="1"/>
  <c r="P66" i="1"/>
  <c r="P42" i="1"/>
  <c r="P34" i="1"/>
  <c r="E68" i="1"/>
  <c r="H78" i="1"/>
  <c r="J36" i="1"/>
  <c r="I36" i="1" s="1"/>
  <c r="H56" i="1"/>
  <c r="H58" i="1"/>
  <c r="J78" i="1"/>
  <c r="I78" i="1" s="1"/>
  <c r="H35" i="1"/>
  <c r="J35" i="1"/>
  <c r="I35" i="1" s="1"/>
  <c r="H59" i="1"/>
  <c r="J59" i="1"/>
  <c r="I59" i="1" s="1"/>
  <c r="H37" i="1"/>
  <c r="J37" i="1"/>
  <c r="I37" i="1" s="1"/>
  <c r="H45" i="1"/>
  <c r="J45" i="1"/>
  <c r="I45" i="1" s="1"/>
  <c r="H53" i="1"/>
  <c r="J53" i="1"/>
  <c r="I53" i="1" s="1"/>
  <c r="H61" i="1"/>
  <c r="J61" i="1"/>
  <c r="I61" i="1" s="1"/>
  <c r="H69" i="1"/>
  <c r="J69" i="1"/>
  <c r="I69" i="1" s="1"/>
  <c r="H79" i="1"/>
  <c r="J79" i="1"/>
  <c r="I79" i="1" s="1"/>
  <c r="H51" i="1"/>
  <c r="J51" i="1"/>
  <c r="I51" i="1" s="1"/>
  <c r="H77" i="1"/>
  <c r="J77" i="1"/>
  <c r="I77" i="1" s="1"/>
  <c r="J68" i="1"/>
  <c r="I68" i="1" s="1"/>
  <c r="F34" i="1"/>
  <c r="E44" i="1"/>
  <c r="J56" i="1"/>
  <c r="I56" i="1" s="1"/>
  <c r="H36" i="1"/>
  <c r="J58" i="1"/>
  <c r="I58" i="1" s="1"/>
  <c r="H39" i="1"/>
  <c r="J39" i="1"/>
  <c r="I39" i="1" s="1"/>
  <c r="H47" i="1"/>
  <c r="J47" i="1"/>
  <c r="I47" i="1" s="1"/>
  <c r="H55" i="1"/>
  <c r="J55" i="1"/>
  <c r="I55" i="1" s="1"/>
  <c r="H63" i="1"/>
  <c r="J63" i="1"/>
  <c r="I63" i="1" s="1"/>
  <c r="H71" i="1"/>
  <c r="J71" i="1"/>
  <c r="I71" i="1" s="1"/>
  <c r="H81" i="1"/>
  <c r="J81" i="1"/>
  <c r="I81" i="1" s="1"/>
  <c r="H43" i="1"/>
  <c r="J43" i="1"/>
  <c r="I43" i="1" s="1"/>
  <c r="H67" i="1"/>
  <c r="J67" i="1"/>
  <c r="I67" i="1" s="1"/>
  <c r="H44" i="1"/>
  <c r="E56" i="1"/>
  <c r="J44" i="1"/>
  <c r="I44" i="1" s="1"/>
  <c r="E67" i="1"/>
  <c r="H41" i="1"/>
  <c r="J41" i="1"/>
  <c r="I41" i="1" s="1"/>
  <c r="H49" i="1"/>
  <c r="J49" i="1"/>
  <c r="I49" i="1" s="1"/>
  <c r="H57" i="1"/>
  <c r="J57" i="1"/>
  <c r="I57" i="1" s="1"/>
  <c r="H65" i="1"/>
  <c r="J65" i="1"/>
  <c r="I65" i="1" s="1"/>
  <c r="H73" i="1"/>
  <c r="J73" i="1"/>
  <c r="I73" i="1" s="1"/>
  <c r="E10" i="1"/>
  <c r="E9" i="1"/>
  <c r="J21" i="1"/>
  <c r="I21" i="1" s="1"/>
  <c r="J29" i="1"/>
  <c r="I29" i="1" s="1"/>
  <c r="J25" i="1"/>
  <c r="I25" i="1" s="1"/>
  <c r="X9" i="1"/>
  <c r="Z9" i="1" s="1"/>
  <c r="Y9" i="1" s="1"/>
  <c r="AA9" i="1" s="1"/>
  <c r="H19" i="1"/>
  <c r="J13" i="1"/>
  <c r="I13" i="1" s="1"/>
  <c r="H21" i="1"/>
  <c r="J33" i="1"/>
  <c r="I33" i="1" s="1"/>
  <c r="J17" i="1"/>
  <c r="I17" i="1" s="1"/>
  <c r="J32" i="1"/>
  <c r="I32" i="1" s="1"/>
  <c r="H32" i="1"/>
  <c r="J9" i="1"/>
  <c r="I9" i="1" s="1"/>
  <c r="H11" i="1"/>
  <c r="H27" i="1"/>
  <c r="H9" i="1"/>
  <c r="H15" i="1"/>
  <c r="H31" i="1"/>
  <c r="H23" i="1"/>
  <c r="J11" i="1"/>
  <c r="I11" i="1" s="1"/>
  <c r="J19" i="1"/>
  <c r="I19" i="1" s="1"/>
  <c r="H25" i="1"/>
  <c r="J31" i="1"/>
  <c r="I31" i="1" s="1"/>
  <c r="H29" i="1"/>
  <c r="J15" i="1"/>
  <c r="I15" i="1" s="1"/>
  <c r="H13" i="1"/>
  <c r="H33" i="1"/>
  <c r="H17" i="1"/>
  <c r="J23" i="1"/>
  <c r="I23" i="1" s="1"/>
  <c r="J27" i="1"/>
  <c r="I27" i="1" s="1"/>
  <c r="J14" i="1"/>
  <c r="I14" i="1" s="1"/>
  <c r="H14" i="1"/>
  <c r="H28" i="1"/>
  <c r="J28" i="1"/>
  <c r="I28" i="1" s="1"/>
  <c r="J26" i="1"/>
  <c r="I26" i="1" s="1"/>
  <c r="H26" i="1"/>
  <c r="J10" i="1"/>
  <c r="I10" i="1" s="1"/>
  <c r="H10" i="1"/>
  <c r="H24" i="1"/>
  <c r="J24" i="1"/>
  <c r="I24" i="1" s="1"/>
  <c r="J22" i="1"/>
  <c r="I22" i="1" s="1"/>
  <c r="H22" i="1"/>
  <c r="H16" i="1"/>
  <c r="J16" i="1"/>
  <c r="I16" i="1" s="1"/>
  <c r="J30" i="1"/>
  <c r="I30" i="1" s="1"/>
  <c r="H30" i="1"/>
  <c r="H12" i="1"/>
  <c r="J12" i="1"/>
  <c r="I12" i="1" s="1"/>
  <c r="H20" i="1"/>
  <c r="J20" i="1"/>
  <c r="I20" i="1" s="1"/>
  <c r="J18" i="1"/>
  <c r="I18" i="1" s="1"/>
  <c r="H18" i="1"/>
  <c r="F57" i="1" l="1"/>
  <c r="F80" i="1"/>
  <c r="F36" i="1"/>
  <c r="F41" i="1"/>
  <c r="F76" i="1"/>
  <c r="F49" i="1"/>
  <c r="F46" i="1"/>
  <c r="F48" i="1"/>
  <c r="F60" i="1"/>
  <c r="F50" i="1"/>
  <c r="F75" i="1"/>
  <c r="F38" i="1"/>
  <c r="F66" i="1"/>
  <c r="F45" i="1"/>
  <c r="F51" i="1"/>
  <c r="F69" i="1"/>
  <c r="F39" i="1"/>
  <c r="F70" i="1"/>
  <c r="F64" i="1"/>
  <c r="F53" i="1"/>
  <c r="F35" i="1"/>
  <c r="F81" i="1"/>
  <c r="F62" i="1"/>
  <c r="F47" i="1"/>
  <c r="F55" i="1"/>
  <c r="F74" i="1"/>
  <c r="F71" i="1"/>
  <c r="F78" i="1"/>
  <c r="F63" i="1"/>
  <c r="R27" i="1"/>
  <c r="Q27" i="1" s="1"/>
  <c r="P27" i="1"/>
  <c r="R63" i="1"/>
  <c r="Q63" i="1" s="1"/>
  <c r="P63" i="1"/>
  <c r="R79" i="1"/>
  <c r="Q79" i="1" s="1"/>
  <c r="P79" i="1"/>
  <c r="R62" i="1"/>
  <c r="Q62" i="1" s="1"/>
  <c r="P62" i="1"/>
  <c r="R50" i="1"/>
  <c r="Q50" i="1" s="1"/>
  <c r="P50" i="1"/>
  <c r="R67" i="1"/>
  <c r="Q67" i="1" s="1"/>
  <c r="P67" i="1"/>
  <c r="R47" i="1"/>
  <c r="Q47" i="1" s="1"/>
  <c r="P47" i="1"/>
  <c r="R30" i="1"/>
  <c r="Q30" i="1" s="1"/>
  <c r="P30" i="1"/>
  <c r="R22" i="1"/>
  <c r="Q22" i="1" s="1"/>
  <c r="P22" i="1"/>
  <c r="R10" i="1"/>
  <c r="Q10" i="1" s="1"/>
  <c r="P10" i="1"/>
  <c r="R23" i="1"/>
  <c r="Q23" i="1" s="1"/>
  <c r="P23" i="1"/>
  <c r="R15" i="1"/>
  <c r="Q15" i="1" s="1"/>
  <c r="P15" i="1"/>
  <c r="R19" i="1"/>
  <c r="Q19" i="1" s="1"/>
  <c r="P19" i="1"/>
  <c r="R9" i="1"/>
  <c r="Q9" i="1" s="1"/>
  <c r="P9" i="1"/>
  <c r="R17" i="1"/>
  <c r="Q17" i="1" s="1"/>
  <c r="P17" i="1"/>
  <c r="R29" i="1"/>
  <c r="Q29" i="1" s="1"/>
  <c r="P29" i="1"/>
  <c r="F44" i="1"/>
  <c r="R65" i="1"/>
  <c r="Q65" i="1" s="1"/>
  <c r="P65" i="1"/>
  <c r="R49" i="1"/>
  <c r="Q49" i="1" s="1"/>
  <c r="P49" i="1"/>
  <c r="R44" i="1"/>
  <c r="Q44" i="1" s="1"/>
  <c r="P44" i="1"/>
  <c r="R20" i="1"/>
  <c r="Q20" i="1" s="1"/>
  <c r="P20" i="1"/>
  <c r="R21" i="1"/>
  <c r="Q21" i="1" s="1"/>
  <c r="P21" i="1"/>
  <c r="R77" i="1"/>
  <c r="Q77" i="1" s="1"/>
  <c r="P77" i="1"/>
  <c r="R61" i="1"/>
  <c r="Q61" i="1" s="1"/>
  <c r="P61" i="1"/>
  <c r="R45" i="1"/>
  <c r="Q45" i="1" s="1"/>
  <c r="P45" i="1"/>
  <c r="R35" i="1"/>
  <c r="Q35" i="1" s="1"/>
  <c r="P35" i="1"/>
  <c r="R12" i="1"/>
  <c r="Q12" i="1" s="1"/>
  <c r="P12" i="1"/>
  <c r="R16" i="1"/>
  <c r="Q16" i="1" s="1"/>
  <c r="P16" i="1"/>
  <c r="R24" i="1"/>
  <c r="Q24" i="1" s="1"/>
  <c r="P24" i="1"/>
  <c r="R11" i="1"/>
  <c r="Q11" i="1" s="1"/>
  <c r="P11" i="1"/>
  <c r="R33" i="1"/>
  <c r="Q33" i="1" s="1"/>
  <c r="P33" i="1"/>
  <c r="F40" i="1"/>
  <c r="R43" i="1"/>
  <c r="Q43" i="1" s="1"/>
  <c r="P43" i="1"/>
  <c r="R71" i="1"/>
  <c r="Q71" i="1" s="1"/>
  <c r="P71" i="1"/>
  <c r="R55" i="1"/>
  <c r="Q55" i="1" s="1"/>
  <c r="P55" i="1"/>
  <c r="R39" i="1"/>
  <c r="Q39" i="1" s="1"/>
  <c r="P39" i="1"/>
  <c r="R51" i="1"/>
  <c r="Q51" i="1" s="1"/>
  <c r="P51" i="1"/>
  <c r="R69" i="1"/>
  <c r="Q69" i="1" s="1"/>
  <c r="P69" i="1"/>
  <c r="R53" i="1"/>
  <c r="Q53" i="1" s="1"/>
  <c r="P53" i="1"/>
  <c r="R37" i="1"/>
  <c r="Q37" i="1" s="1"/>
  <c r="P37" i="1"/>
  <c r="R59" i="1"/>
  <c r="Q59" i="1" s="1"/>
  <c r="P59" i="1"/>
  <c r="R78" i="1"/>
  <c r="Q78" i="1" s="1"/>
  <c r="P78" i="1"/>
  <c r="R36" i="1"/>
  <c r="Q36" i="1" s="1"/>
  <c r="P36" i="1"/>
  <c r="R72" i="1"/>
  <c r="Q72" i="1" s="1"/>
  <c r="P72" i="1"/>
  <c r="R48" i="1"/>
  <c r="Q48" i="1" s="1"/>
  <c r="P48" i="1"/>
  <c r="R28" i="1"/>
  <c r="Q28" i="1" s="1"/>
  <c r="P28" i="1"/>
  <c r="R32" i="1"/>
  <c r="Q32" i="1" s="1"/>
  <c r="P32" i="1"/>
  <c r="R25" i="1"/>
  <c r="Q25" i="1" s="1"/>
  <c r="P25" i="1"/>
  <c r="R81" i="1"/>
  <c r="Q81" i="1" s="1"/>
  <c r="P81" i="1"/>
  <c r="R18" i="1"/>
  <c r="Q18" i="1" s="1"/>
  <c r="P18" i="1"/>
  <c r="R26" i="1"/>
  <c r="Q26" i="1" s="1"/>
  <c r="P26" i="1"/>
  <c r="R14" i="1"/>
  <c r="Q14" i="1" s="1"/>
  <c r="P14" i="1"/>
  <c r="R31" i="1"/>
  <c r="Q31" i="1" s="1"/>
  <c r="P31" i="1"/>
  <c r="R13" i="1"/>
  <c r="Q13" i="1" s="1"/>
  <c r="P13" i="1"/>
  <c r="F72" i="1"/>
  <c r="R73" i="1"/>
  <c r="Q73" i="1" s="1"/>
  <c r="P73" i="1"/>
  <c r="R57" i="1"/>
  <c r="Q57" i="1" s="1"/>
  <c r="P57" i="1"/>
  <c r="R41" i="1"/>
  <c r="Q41" i="1" s="1"/>
  <c r="P41" i="1"/>
  <c r="R58" i="1"/>
  <c r="Q58" i="1" s="1"/>
  <c r="P58" i="1"/>
  <c r="R56" i="1"/>
  <c r="Q56" i="1" s="1"/>
  <c r="P56" i="1"/>
  <c r="R68" i="1"/>
  <c r="Q68" i="1" s="1"/>
  <c r="P68" i="1"/>
  <c r="F68" i="1"/>
  <c r="F59" i="1"/>
  <c r="F58" i="1"/>
  <c r="F43" i="1"/>
  <c r="F77" i="1"/>
  <c r="F56" i="1"/>
  <c r="F67" i="1"/>
  <c r="F37" i="1"/>
  <c r="F9" i="1"/>
  <c r="F10" i="1"/>
  <c r="E17" i="1"/>
  <c r="E13" i="1"/>
  <c r="E12" i="1"/>
  <c r="E18" i="1"/>
  <c r="F11" i="1"/>
  <c r="F14" i="1" l="1"/>
  <c r="E16" i="1"/>
  <c r="E15" i="1"/>
  <c r="E21" i="1"/>
  <c r="E20" i="1"/>
  <c r="E23" i="1" l="1"/>
  <c r="F12" i="1"/>
  <c r="E19" i="1"/>
  <c r="F18" i="1"/>
  <c r="F17" i="1"/>
  <c r="E24" i="1"/>
  <c r="F13" i="1"/>
  <c r="F21" i="1" l="1"/>
  <c r="F15" i="1"/>
  <c r="E27" i="1"/>
  <c r="F16" i="1"/>
  <c r="F20" i="1"/>
  <c r="E22" i="1"/>
  <c r="E26" i="1"/>
  <c r="F23" i="1" l="1"/>
  <c r="E25" i="1"/>
  <c r="F19" i="1"/>
  <c r="F24" i="1"/>
  <c r="E29" i="1"/>
  <c r="E30" i="1"/>
  <c r="F26" i="1" l="1"/>
  <c r="F27" i="1"/>
  <c r="E32" i="1"/>
  <c r="F22" i="1"/>
  <c r="E33" i="1"/>
  <c r="E28" i="1"/>
  <c r="F29" i="1" l="1"/>
  <c r="F30" i="1"/>
  <c r="F25" i="1"/>
  <c r="E31" i="1"/>
  <c r="F32" i="1" l="1"/>
  <c r="F28" i="1"/>
  <c r="F33" i="1"/>
  <c r="F31" i="1" l="1"/>
</calcChain>
</file>

<file path=xl/sharedStrings.xml><?xml version="1.0" encoding="utf-8"?>
<sst xmlns="http://schemas.openxmlformats.org/spreadsheetml/2006/main" count="112" uniqueCount="51">
  <si>
    <t>Ellipse calculator</t>
  </si>
  <si>
    <t>x</t>
  </si>
  <si>
    <t>y</t>
  </si>
  <si>
    <t>Object:</t>
  </si>
  <si>
    <t>a</t>
  </si>
  <si>
    <t>b</t>
  </si>
  <si>
    <t>eccentricity</t>
  </si>
  <si>
    <t>AU</t>
  </si>
  <si>
    <t>r</t>
  </si>
  <si>
    <t>c</t>
  </si>
  <si>
    <t>Theta</t>
  </si>
  <si>
    <t>p</t>
  </si>
  <si>
    <t>v</t>
  </si>
  <si>
    <t>PE/m</t>
  </si>
  <si>
    <t>KE/m</t>
  </si>
  <si>
    <t>Check</t>
  </si>
  <si>
    <t>E_mech/m</t>
  </si>
  <si>
    <t>J/kg</t>
  </si>
  <si>
    <t>G</t>
  </si>
  <si>
    <t>M_sol</t>
  </si>
  <si>
    <t>Nm^2/kg^2</t>
  </si>
  <si>
    <t>kg</t>
  </si>
  <si>
    <t>M_BH</t>
  </si>
  <si>
    <t>m</t>
  </si>
  <si>
    <t>d</t>
  </si>
  <si>
    <t>g_BH</t>
  </si>
  <si>
    <t>m/s^2</t>
  </si>
  <si>
    <t>v_esc</t>
  </si>
  <si>
    <t xml:space="preserve">m/s </t>
  </si>
  <si>
    <t>Semimajor</t>
  </si>
  <si>
    <t>Semiminor Axis</t>
  </si>
  <si>
    <t>Offset</t>
  </si>
  <si>
    <t>z</t>
  </si>
  <si>
    <t>degrees</t>
  </si>
  <si>
    <t>deg</t>
  </si>
  <si>
    <t>phi</t>
  </si>
  <si>
    <t>Roll</t>
  </si>
  <si>
    <t>Yaw</t>
  </si>
  <si>
    <t>Pitch</t>
  </si>
  <si>
    <t>rad</t>
  </si>
  <si>
    <t>Z-Axis</t>
  </si>
  <si>
    <t>Planet1</t>
  </si>
  <si>
    <t>(Cyan/Yellow)</t>
  </si>
  <si>
    <t>Planet2</t>
  </si>
  <si>
    <t>(Gray/Blue)</t>
  </si>
  <si>
    <t>Planet3</t>
  </si>
  <si>
    <t>(Red/Green)</t>
  </si>
  <si>
    <t>Yaw/Phase Angle</t>
  </si>
  <si>
    <t>Pitch/Orb Inclination</t>
  </si>
  <si>
    <t>Cos(0)</t>
  </si>
  <si>
    <t>Sin(0)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</si>
</sst>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ck">
        <color auto="1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11" fontId="0" fillId="0" borderId="0" xfId="0" applyNumberFormat="1"/>
    <xf numFmtId="1" fontId="0" fillId="0" borderId="0" xfId="0" applyNumberFormat="1"/>
    <xf numFmtId="0" fontId="0" fillId="0" borderId="2" xfId="0" applyBorder="1"/>
    <xf numFmtId="164" fontId="0" fillId="0" borderId="0" xfId="0" applyNumberFormat="1"/>
    <xf numFmtId="165" fontId="0" fillId="0" borderId="0" xfId="0" applyNumberFormat="1"/>
    <xf numFmtId="11" fontId="0" fillId="0" borderId="2" xfId="0" applyNumberFormat="1" applyBorder="1"/>
    <xf numFmtId="0" fontId="1" fillId="2" borderId="1" xfId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Planetary Orbits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v>Planet3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Sheet1!$T$9:$T$81</c:f>
              <c:numCache>
                <c:formatCode>0.0000</c:formatCode>
                <c:ptCount val="73"/>
                <c:pt idx="0">
                  <c:v>1.2000000000000002</c:v>
                </c:pt>
                <c:pt idx="1">
                  <c:v>1.1909018964509861</c:v>
                </c:pt>
                <c:pt idx="2">
                  <c:v>1.1640842482013765</c:v>
                </c:pt>
                <c:pt idx="3">
                  <c:v>1.1209166818152287</c:v>
                </c:pt>
                <c:pt idx="4">
                  <c:v>1.0634945743553152</c:v>
                </c:pt>
                <c:pt idx="5">
                  <c:v>0.99440165299999705</c:v>
                </c:pt>
                <c:pt idx="6">
                  <c:v>0.91644952894850895</c:v>
                </c:pt>
                <c:pt idx="7">
                  <c:v>0.83243778201311303</c:v>
                </c:pt>
                <c:pt idx="8">
                  <c:v>0.74496470040323193</c:v>
                </c:pt>
                <c:pt idx="9">
                  <c:v>0.65630179281363266</c:v>
                </c:pt>
                <c:pt idx="10">
                  <c:v>0.56833045227777357</c:v>
                </c:pt>
                <c:pt idx="11">
                  <c:v>0.48252969255536332</c:v>
                </c:pt>
                <c:pt idx="12">
                  <c:v>0.40000000000000019</c:v>
                </c:pt>
                <c:pt idx="13">
                  <c:v>0.32150867592044613</c:v>
                </c:pt>
                <c:pt idx="14">
                  <c:v>0.24754472760245377</c:v>
                </c:pt>
                <c:pt idx="15">
                  <c:v>0.17837482844585331</c:v>
                </c:pt>
                <c:pt idx="16">
                  <c:v>0.11409511062010204</c:v>
                </c:pt>
                <c:pt idx="17">
                  <c:v>5.4676114325910179E-2</c:v>
                </c:pt>
                <c:pt idx="18">
                  <c:v>3.6754453647258606E-17</c:v>
                </c:pt>
                <c:pt idx="19">
                  <c:v>-5.0109768598056499E-2</c:v>
                </c:pt>
                <c:pt idx="20">
                  <c:v>-9.5865474155977376E-2</c:v>
                </c:pt>
                <c:pt idx="21">
                  <c:v>-0.13749789067717405</c:v>
                </c:pt>
                <c:pt idx="22">
                  <c:v>-0.17524365585003046</c:v>
                </c:pt>
                <c:pt idx="23">
                  <c:v>-0.20933628797318143</c:v>
                </c:pt>
                <c:pt idx="24">
                  <c:v>-0.23999999999999994</c:v>
                </c:pt>
                <c:pt idx="25">
                  <c:v>-0.26744561144535201</c:v>
                </c:pt>
                <c:pt idx="26">
                  <c:v>-0.29186799907667815</c:v>
                </c:pt>
                <c:pt idx="27">
                  <c:v>-0.31344464995648974</c:v>
                </c:pt>
                <c:pt idx="28">
                  <c:v>-0.33233498255227895</c:v>
                </c:pt>
                <c:pt idx="29">
                  <c:v>-0.34868018386525329</c:v>
                </c:pt>
                <c:pt idx="30">
                  <c:v>-0.36260337510235474</c:v>
                </c:pt>
                <c:pt idx="31">
                  <c:v>-0.37420996815787883</c:v>
                </c:pt>
                <c:pt idx="32">
                  <c:v>-0.38358811291012629</c:v>
                </c:pt>
                <c:pt idx="33">
                  <c:v>-0.39080916362535884</c:v>
                </c:pt>
                <c:pt idx="34">
                  <c:v>-0.39592811376948212</c:v>
                </c:pt>
                <c:pt idx="35">
                  <c:v>-0.3989839640499524</c:v>
                </c:pt>
                <c:pt idx="36">
                  <c:v>-0.40000000000000008</c:v>
                </c:pt>
                <c:pt idx="37">
                  <c:v>-0.3989839640499524</c:v>
                </c:pt>
                <c:pt idx="38">
                  <c:v>-0.39592811376948212</c:v>
                </c:pt>
                <c:pt idx="39">
                  <c:v>-0.39080916362535889</c:v>
                </c:pt>
                <c:pt idx="40">
                  <c:v>-0.38358811291012634</c:v>
                </c:pt>
                <c:pt idx="41">
                  <c:v>-0.37420996815787888</c:v>
                </c:pt>
                <c:pt idx="42">
                  <c:v>-0.3626033751023548</c:v>
                </c:pt>
                <c:pt idx="43">
                  <c:v>-0.34868018386525323</c:v>
                </c:pt>
                <c:pt idx="44">
                  <c:v>-0.332334982552279</c:v>
                </c:pt>
                <c:pt idx="45">
                  <c:v>-0.3134446499564898</c:v>
                </c:pt>
                <c:pt idx="46">
                  <c:v>-0.29186799907667815</c:v>
                </c:pt>
                <c:pt idx="47">
                  <c:v>-0.26744561144535206</c:v>
                </c:pt>
                <c:pt idx="48">
                  <c:v>-0.24000000000000021</c:v>
                </c:pt>
                <c:pt idx="49">
                  <c:v>-0.20933628797318135</c:v>
                </c:pt>
                <c:pt idx="50">
                  <c:v>-0.17524365585003041</c:v>
                </c:pt>
                <c:pt idx="51">
                  <c:v>-0.13749789067717394</c:v>
                </c:pt>
                <c:pt idx="52">
                  <c:v>-9.5865474155977362E-2</c:v>
                </c:pt>
                <c:pt idx="53">
                  <c:v>-5.0109768598056513E-2</c:v>
                </c:pt>
                <c:pt idx="54">
                  <c:v>-1.1026336094177581E-16</c:v>
                </c:pt>
                <c:pt idx="55">
                  <c:v>5.4676114325910012E-2</c:v>
                </c:pt>
                <c:pt idx="56">
                  <c:v>0.11409511062010173</c:v>
                </c:pt>
                <c:pt idx="57">
                  <c:v>0.17837482844585298</c:v>
                </c:pt>
                <c:pt idx="58">
                  <c:v>0.24754472760245388</c:v>
                </c:pt>
                <c:pt idx="59">
                  <c:v>0.3215086759204463</c:v>
                </c:pt>
                <c:pt idx="60">
                  <c:v>0.40000000000000019</c:v>
                </c:pt>
                <c:pt idx="61">
                  <c:v>0.48252969255536327</c:v>
                </c:pt>
                <c:pt idx="62">
                  <c:v>0.56833045227777346</c:v>
                </c:pt>
                <c:pt idx="63">
                  <c:v>0.65630179281363243</c:v>
                </c:pt>
                <c:pt idx="64">
                  <c:v>0.74496470040323171</c:v>
                </c:pt>
                <c:pt idx="65">
                  <c:v>0.83243778201311258</c:v>
                </c:pt>
                <c:pt idx="66">
                  <c:v>0.91644952894850817</c:v>
                </c:pt>
                <c:pt idx="67">
                  <c:v>0.99440165299999717</c:v>
                </c:pt>
                <c:pt idx="68">
                  <c:v>1.0634945743553152</c:v>
                </c:pt>
                <c:pt idx="69">
                  <c:v>1.1209166818152287</c:v>
                </c:pt>
                <c:pt idx="70">
                  <c:v>1.1640842482013765</c:v>
                </c:pt>
                <c:pt idx="71">
                  <c:v>1.1909018964509861</c:v>
                </c:pt>
                <c:pt idx="72">
                  <c:v>1.2000000000000002</c:v>
                </c:pt>
              </c:numCache>
            </c:numRef>
          </c:xVal>
          <c:yVal>
            <c:numRef>
              <c:f>Sheet1!$U$9:$U$81</c:f>
              <c:numCache>
                <c:formatCode>0.0000</c:formatCode>
                <c:ptCount val="73"/>
                <c:pt idx="0">
                  <c:v>0</c:v>
                </c:pt>
                <c:pt idx="1">
                  <c:v>0.10419041531098511</c:v>
                </c:pt>
                <c:pt idx="2">
                  <c:v>0.20525946077563206</c:v>
                </c:pt>
                <c:pt idx="3">
                  <c:v>0.30034871967496424</c:v>
                </c:pt>
                <c:pt idx="4">
                  <c:v>0.38708036936893925</c:v>
                </c:pt>
                <c:pt idx="5">
                  <c:v>0.46369710607588815</c:v>
                </c:pt>
                <c:pt idx="6">
                  <c:v>0.5291123822371272</c:v>
                </c:pt>
                <c:pt idx="7">
                  <c:v>0.58287921005615284</c:v>
                </c:pt>
                <c:pt idx="8">
                  <c:v>0.62509960534844466</c:v>
                </c:pt>
                <c:pt idx="9">
                  <c:v>0.65630179281363255</c:v>
                </c:pt>
                <c:pt idx="10">
                  <c:v>0.67730985828272883</c:v>
                </c:pt>
                <c:pt idx="11">
                  <c:v>0.68912381861682737</c:v>
                </c:pt>
                <c:pt idx="12">
                  <c:v>0.69282032302755103</c:v>
                </c:pt>
                <c:pt idx="13">
                  <c:v>0.68947758051526153</c:v>
                </c:pt>
                <c:pt idx="14">
                  <c:v>0.68012354939278685</c:v>
                </c:pt>
                <c:pt idx="15">
                  <c:v>0.66570392255130695</c:v>
                </c:pt>
                <c:pt idx="16">
                  <c:v>0.64706552656705585</c:v>
                </c:pt>
                <c:pt idx="17">
                  <c:v>0.62495084645691235</c:v>
                </c:pt>
                <c:pt idx="18">
                  <c:v>0.60000000000000009</c:v>
                </c:pt>
                <c:pt idx="19">
                  <c:v>0.57275727595505332</c:v>
                </c:pt>
                <c:pt idx="20">
                  <c:v>0.54368012070982596</c:v>
                </c:pt>
                <c:pt idx="21">
                  <c:v>0.51314911394076446</c:v>
                </c:pt>
                <c:pt idx="22">
                  <c:v>0.48147798735063563</c:v>
                </c:pt>
                <c:pt idx="23">
                  <c:v>0.44892311827226966</c:v>
                </c:pt>
                <c:pt idx="24">
                  <c:v>0.41569219381653066</c:v>
                </c:pt>
                <c:pt idx="25">
                  <c:v>0.38195191689760538</c:v>
                </c:pt>
                <c:pt idx="26">
                  <c:v>0.34783473646291474</c:v>
                </c:pt>
                <c:pt idx="27">
                  <c:v>0.3134446499564898</c:v>
                </c:pt>
                <c:pt idx="28">
                  <c:v>0.27886216128692515</c:v>
                </c:pt>
                <c:pt idx="29">
                  <c:v>0.24414849316679788</c:v>
                </c:pt>
                <c:pt idx="30">
                  <c:v>0.2093491562244113</c:v>
                </c:pt>
                <c:pt idx="31">
                  <c:v>0.17449697390995708</c:v>
                </c:pt>
                <c:pt idx="32">
                  <c:v>0.1396146553176292</c:v>
                </c:pt>
                <c:pt idx="33">
                  <c:v>0.10471699978809751</c:v>
                </c:pt>
                <c:pt idx="34">
                  <c:v>6.9812808878570373E-2</c:v>
                </c:pt>
                <c:pt idx="35">
                  <c:v>3.490657378300565E-2</c:v>
                </c:pt>
                <c:pt idx="36">
                  <c:v>4.9005938196344813E-17</c:v>
                </c:pt>
                <c:pt idx="37">
                  <c:v>-3.4906573783005553E-2</c:v>
                </c:pt>
                <c:pt idx="38">
                  <c:v>-6.9812808878570456E-2</c:v>
                </c:pt>
                <c:pt idx="39">
                  <c:v>-0.10471699978809741</c:v>
                </c:pt>
                <c:pt idx="40">
                  <c:v>-0.13961465531762912</c:v>
                </c:pt>
                <c:pt idx="41">
                  <c:v>-0.174496973909957</c:v>
                </c:pt>
                <c:pt idx="42">
                  <c:v>-0.20934915622441144</c:v>
                </c:pt>
                <c:pt idx="43">
                  <c:v>-0.24414849316679796</c:v>
                </c:pt>
                <c:pt idx="44">
                  <c:v>-0.27886216128692509</c:v>
                </c:pt>
                <c:pt idx="45">
                  <c:v>-0.31344464995648968</c:v>
                </c:pt>
                <c:pt idx="46">
                  <c:v>-0.34783473646291463</c:v>
                </c:pt>
                <c:pt idx="47">
                  <c:v>-0.38195191689760527</c:v>
                </c:pt>
                <c:pt idx="48">
                  <c:v>-0.41569219381653039</c:v>
                </c:pt>
                <c:pt idx="49">
                  <c:v>-0.44892311827226966</c:v>
                </c:pt>
                <c:pt idx="50">
                  <c:v>-0.48147798735063574</c:v>
                </c:pt>
                <c:pt idx="51">
                  <c:v>-0.51314911394076446</c:v>
                </c:pt>
                <c:pt idx="52">
                  <c:v>-0.54368012070982585</c:v>
                </c:pt>
                <c:pt idx="53">
                  <c:v>-0.57275727595505332</c:v>
                </c:pt>
                <c:pt idx="54">
                  <c:v>-0.60000000000000009</c:v>
                </c:pt>
                <c:pt idx="55">
                  <c:v>-0.62495084645691223</c:v>
                </c:pt>
                <c:pt idx="56">
                  <c:v>-0.64706552656705585</c:v>
                </c:pt>
                <c:pt idx="57">
                  <c:v>-0.66570392255130684</c:v>
                </c:pt>
                <c:pt idx="58">
                  <c:v>-0.68012354939278685</c:v>
                </c:pt>
                <c:pt idx="59">
                  <c:v>-0.68947758051526165</c:v>
                </c:pt>
                <c:pt idx="60">
                  <c:v>-0.69282032302755103</c:v>
                </c:pt>
                <c:pt idx="61">
                  <c:v>-0.68912381861682737</c:v>
                </c:pt>
                <c:pt idx="62">
                  <c:v>-0.67730985828272894</c:v>
                </c:pt>
                <c:pt idx="63">
                  <c:v>-0.65630179281363277</c:v>
                </c:pt>
                <c:pt idx="64">
                  <c:v>-0.625099605348445</c:v>
                </c:pt>
                <c:pt idx="65">
                  <c:v>-0.58287921005615317</c:v>
                </c:pt>
                <c:pt idx="66">
                  <c:v>-0.52911238223712753</c:v>
                </c:pt>
                <c:pt idx="67">
                  <c:v>-0.46369710607588793</c:v>
                </c:pt>
                <c:pt idx="68">
                  <c:v>-0.38708036936893914</c:v>
                </c:pt>
                <c:pt idx="69">
                  <c:v>-0.30034871967496418</c:v>
                </c:pt>
                <c:pt idx="70">
                  <c:v>-0.20525946077563212</c:v>
                </c:pt>
                <c:pt idx="71">
                  <c:v>-0.10419041531098529</c:v>
                </c:pt>
                <c:pt idx="72">
                  <c:v>-2.9403562917806885E-16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4E-48E0-8664-DA386505F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73144"/>
        <c:axId val="4431832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Planet1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Sheet1!$B$9:$B$81</c15:sqref>
                        </c15:formulaRef>
                      </c:ext>
                    </c:extLst>
                    <c:numCache>
                      <c:formatCode>0.0000</c:formatCode>
                      <c:ptCount val="73"/>
                      <c:pt idx="0">
                        <c:v>0.94407961698197618</c:v>
                      </c:pt>
                      <c:pt idx="1">
                        <c:v>0.90199571718597249</c:v>
                      </c:pt>
                      <c:pt idx="2">
                        <c:v>0.8045836680971632</c:v>
                      </c:pt>
                      <c:pt idx="3">
                        <c:v>0.68061804035532403</c:v>
                      </c:pt>
                      <c:pt idx="4">
                        <c:v>0.55570307163804256</c:v>
                      </c:pt>
                      <c:pt idx="5">
                        <c:v>0.44420602228697365</c:v>
                      </c:pt>
                      <c:pt idx="6">
                        <c:v>0.35089596008254775</c:v>
                      </c:pt>
                      <c:pt idx="7">
                        <c:v>0.27527759736923063</c:v>
                      </c:pt>
                      <c:pt idx="8">
                        <c:v>0.21482322274838186</c:v>
                      </c:pt>
                      <c:pt idx="9">
                        <c:v>0.16663859902348549</c:v>
                      </c:pt>
                      <c:pt idx="10">
                        <c:v>0.12812667033930464</c:v>
                      </c:pt>
                      <c:pt idx="11">
                        <c:v>9.7165962381449214E-2</c:v>
                      </c:pt>
                      <c:pt idx="12">
                        <c:v>7.2094769498175018E-2</c:v>
                      </c:pt>
                      <c:pt idx="13">
                        <c:v>5.1635173987636521E-2</c:v>
                      </c:pt>
                      <c:pt idx="14">
                        <c:v>3.4810473904012824E-2</c:v>
                      </c:pt>
                      <c:pt idx="15">
                        <c:v>2.0873877020490646E-2</c:v>
                      </c:pt>
                      <c:pt idx="16">
                        <c:v>9.2520575038537323E-3</c:v>
                      </c:pt>
                      <c:pt idx="17">
                        <c:v>-4.9780305507754648E-4</c:v>
                      </c:pt>
                      <c:pt idx="18">
                        <c:v>-8.7201340654693756E-3</c:v>
                      </c:pt>
                      <c:pt idx="19">
                        <c:v>-1.5684826882627262E-2</c:v>
                      </c:pt>
                      <c:pt idx="20">
                        <c:v>-2.1604934402305022E-2</c:v>
                      </c:pt>
                      <c:pt idx="21">
                        <c:v>-2.6649842978660659E-2</c:v>
                      </c:pt>
                      <c:pt idx="22">
                        <c:v>-3.0955122373059495E-2</c:v>
                      </c:pt>
                      <c:pt idx="23">
                        <c:v>-3.4629935314707976E-2</c:v>
                      </c:pt>
                      <c:pt idx="24">
                        <c:v>-3.7762647223587131E-2</c:v>
                      </c:pt>
                      <c:pt idx="25">
                        <c:v>-4.042510103072218E-2</c:v>
                      </c:pt>
                      <c:pt idx="26">
                        <c:v>-4.2675895250244233E-2</c:v>
                      </c:pt>
                      <c:pt idx="27">
                        <c:v>-4.4562912187721751E-2</c:v>
                      </c:pt>
                      <c:pt idx="28">
                        <c:v>-4.6125277389079553E-2</c:v>
                      </c:pt>
                      <c:pt idx="29">
                        <c:v>-4.7394883849367124E-2</c:v>
                      </c:pt>
                      <c:pt idx="30">
                        <c:v>-4.8397579886121152E-2</c:v>
                      </c:pt>
                      <c:pt idx="31">
                        <c:v>-4.9154094223052044E-2</c:v>
                      </c:pt>
                      <c:pt idx="32">
                        <c:v>-4.9680753088776675E-2</c:v>
                      </c:pt>
                      <c:pt idx="33">
                        <c:v>-4.9990030135353171E-2</c:v>
                      </c:pt>
                      <c:pt idx="34">
                        <c:v>-5.0090959378953213E-2</c:v>
                      </c:pt>
                      <c:pt idx="35">
                        <c:v>-4.9989433189308013E-2</c:v>
                      </c:pt>
                      <c:pt idx="36">
                        <c:v>-4.9688400893788211E-2</c:v>
                      </c:pt>
                      <c:pt idx="37">
                        <c:v>-4.9187978282588224E-2</c:v>
                      </c:pt>
                      <c:pt idx="38">
                        <c:v>-4.8485473789898481E-2</c:v>
                      </c:pt>
                      <c:pt idx="39">
                        <c:v>-4.7575333045206045E-2</c:v>
                      </c:pt>
                      <c:pt idx="40">
                        <c:v>-4.6448999544757279E-2</c:v>
                      </c:pt>
                      <c:pt idx="41">
                        <c:v>-4.5094685105702401E-2</c:v>
                      </c:pt>
                      <c:pt idx="42">
                        <c:v>-4.3497039241848341E-2</c:v>
                      </c:pt>
                      <c:pt idx="43">
                        <c:v>-4.1636701306820893E-2</c:v>
                      </c:pt>
                      <c:pt idx="44">
                        <c:v>-3.9489712780632881E-2</c:v>
                      </c:pt>
                      <c:pt idx="45">
                        <c:v>-3.7026758906753714E-2</c:v>
                      </c:pt>
                      <c:pt idx="46">
                        <c:v>-3.4212198325730914E-2</c:v>
                      </c:pt>
                      <c:pt idx="47">
                        <c:v>-3.100282545872754E-2</c:v>
                      </c:pt>
                      <c:pt idx="48">
                        <c:v>-2.7346291878618117E-2</c:v>
                      </c:pt>
                      <c:pt idx="49">
                        <c:v>-2.3179087977158855E-2</c:v>
                      </c:pt>
                      <c:pt idx="50">
                        <c:v>-1.8423952400833755E-2</c:v>
                      </c:pt>
                      <c:pt idx="51">
                        <c:v>-1.2986530510850993E-2</c:v>
                      </c:pt>
                      <c:pt idx="52">
                        <c:v>-6.7510397034812987E-3</c:v>
                      </c:pt>
                      <c:pt idx="53">
                        <c:v>4.2538780822727086E-4</c:v>
                      </c:pt>
                      <c:pt idx="54">
                        <c:v>8.72013406546936E-3</c:v>
                      </c:pt>
                      <c:pt idx="55">
                        <c:v>1.8354909542594468E-2</c:v>
                      </c:pt>
                      <c:pt idx="56">
                        <c:v>2.9608786829388105E-2</c:v>
                      </c:pt>
                      <c:pt idx="57">
                        <c:v>4.2835578331498057E-2</c:v>
                      </c:pt>
                      <c:pt idx="58">
                        <c:v>5.8487042091692934E-2</c:v>
                      </c:pt>
                      <c:pt idx="59">
                        <c:v>7.7143791719397961E-2</c:v>
                      </c:pt>
                      <c:pt idx="60">
                        <c:v>9.9556069953093421E-2</c:v>
                      </c:pt>
                      <c:pt idx="61">
                        <c:v>0.12669631841286547</c:v>
                      </c:pt>
                      <c:pt idx="62">
                        <c:v>0.15982370703288976</c:v>
                      </c:pt>
                      <c:pt idx="63">
                        <c:v>0.20055498981343634</c:v>
                      </c:pt>
                      <c:pt idx="64">
                        <c:v>0.25092055730890861</c:v>
                      </c:pt>
                      <c:pt idx="65">
                        <c:v>0.31334734366937517</c:v>
                      </c:pt>
                      <c:pt idx="66">
                        <c:v>0.39042922359353222</c:v>
                      </c:pt>
                      <c:pt idx="67">
                        <c:v>0.48419330621248785</c:v>
                      </c:pt>
                      <c:pt idx="68">
                        <c:v>0.59436688331945942</c:v>
                      </c:pt>
                      <c:pt idx="69">
                        <c:v>0.7151629672397245</c:v>
                      </c:pt>
                      <c:pt idx="70">
                        <c:v>0.83122561636225201</c:v>
                      </c:pt>
                      <c:pt idx="71">
                        <c:v>0.91669257846426655</c:v>
                      </c:pt>
                      <c:pt idx="72">
                        <c:v>0.94407961698197618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Sheet1!$C$9:$C$81</c15:sqref>
                        </c15:formulaRef>
                      </c:ext>
                    </c:extLst>
                    <c:numCache>
                      <c:formatCode>0.0000</c:formatCode>
                      <c:ptCount val="73"/>
                      <c:pt idx="0">
                        <c:v>-8.2596263951819349E-2</c:v>
                      </c:pt>
                      <c:pt idx="1">
                        <c:v>-0.15908065676900746</c:v>
                      </c:pt>
                      <c:pt idx="2">
                        <c:v>-0.21571449387955735</c:v>
                      </c:pt>
                      <c:pt idx="3">
                        <c:v>-0.24797690126097763</c:v>
                      </c:pt>
                      <c:pt idx="4">
                        <c:v>-0.25951533888385431</c:v>
                      </c:pt>
                      <c:pt idx="5">
                        <c:v>-0.25697969095998818</c:v>
                      </c:pt>
                      <c:pt idx="6">
                        <c:v>-0.24633959517209167</c:v>
                      </c:pt>
                      <c:pt idx="7">
                        <c:v>-0.23174086927619261</c:v>
                      </c:pt>
                      <c:pt idx="8">
                        <c:v>-0.2156929781084673</c:v>
                      </c:pt>
                      <c:pt idx="9">
                        <c:v>-0.19958108148516693</c:v>
                      </c:pt>
                      <c:pt idx="10">
                        <c:v>-0.18410592108105064</c:v>
                      </c:pt>
                      <c:pt idx="11">
                        <c:v>-0.16957872211509142</c:v>
                      </c:pt>
                      <c:pt idx="12">
                        <c:v>-0.15609929977546541</c:v>
                      </c:pt>
                      <c:pt idx="13">
                        <c:v>-0.14365811329008479</c:v>
                      </c:pt>
                      <c:pt idx="14">
                        <c:v>-0.13219295090336544</c:v>
                      </c:pt>
                      <c:pt idx="15">
                        <c:v>-0.12161965542268323</c:v>
                      </c:pt>
                      <c:pt idx="16">
                        <c:v>-0.11184831505742157</c:v>
                      </c:pt>
                      <c:pt idx="17">
                        <c:v>-0.1027914256306775</c:v>
                      </c:pt>
                      <c:pt idx="18">
                        <c:v>-9.4367672497580712E-2</c:v>
                      </c:pt>
                      <c:pt idx="19">
                        <c:v>-8.6503362789386667E-2</c:v>
                      </c:pt>
                      <c:pt idx="20">
                        <c:v>-7.913263271858885E-2</c:v>
                      </c:pt>
                      <c:pt idx="21">
                        <c:v>-7.2197049212855413E-2</c:v>
                      </c:pt>
                      <c:pt idx="22">
                        <c:v>-6.5644943268464304E-2</c:v>
                      </c:pt>
                      <c:pt idx="23">
                        <c:v>-5.9430655275387018E-2</c:v>
                      </c:pt>
                      <c:pt idx="24">
                        <c:v>-5.3513785159533832E-2</c:v>
                      </c:pt>
                      <c:pt idx="25">
                        <c:v>-4.7858491872315431E-2</c:v>
                      </c:pt>
                      <c:pt idx="26">
                        <c:v>-4.2432860400994421E-2</c:v>
                      </c:pt>
                      <c:pt idx="27">
                        <c:v>-3.7208340449832927E-2</c:v>
                      </c:pt>
                      <c:pt idx="28">
                        <c:v>-3.2159253819311458E-2</c:v>
                      </c:pt>
                      <c:pt idx="29">
                        <c:v>-2.7262364212263974E-2</c:v>
                      </c:pt>
                      <c:pt idx="30">
                        <c:v>-2.2496501977147431E-2</c:v>
                      </c:pt>
                      <c:pt idx="31">
                        <c:v>-1.7842236172401396E-2</c:v>
                      </c:pt>
                      <c:pt idx="32">
                        <c:v>-1.3281586746618538E-2</c:v>
                      </c:pt>
                      <c:pt idx="33">
                        <c:v>-8.7977702689141235E-3</c:v>
                      </c:pt>
                      <c:pt idx="34">
                        <c:v>-4.3749733457820296E-3</c:v>
                      </c:pt>
                      <c:pt idx="35">
                        <c:v>1.8514610715739122E-6</c:v>
                      </c:pt>
                      <c:pt idx="36">
                        <c:v>4.3471717869378529E-3</c:v>
                      </c:pt>
                      <c:pt idx="37">
                        <c:v>8.6750477205652619E-3</c:v>
                      </c:pt>
                      <c:pt idx="38">
                        <c:v>1.299929373887744E-2</c:v>
                      </c:pt>
                      <c:pt idx="39">
                        <c:v>1.7333633500002634E-2</c:v>
                      </c:pt>
                      <c:pt idx="40">
                        <c:v>2.1691850329604086E-2</c:v>
                      </c:pt>
                      <c:pt idx="41">
                        <c:v>2.6087935914823841E-2</c:v>
                      </c:pt>
                      <c:pt idx="42">
                        <c:v>3.0536239389877307E-2</c:v>
                      </c:pt>
                      <c:pt idx="43">
                        <c:v>3.5051618609173371E-2</c:v>
                      </c:pt>
                      <c:pt idx="44">
                        <c:v>3.9649594887044712E-2</c:v>
                      </c:pt>
                      <c:pt idx="45">
                        <c:v>4.4346511731408293E-2</c:v>
                      </c:pt>
                      <c:pt idx="46">
                        <c:v>4.915969694901267E-2</c:v>
                      </c:pt>
                      <c:pt idx="47">
                        <c:v>5.4107625699305328E-2</c:v>
                      </c:pt>
                      <c:pt idx="48">
                        <c:v>5.9210079225176494E-2</c:v>
                      </c:pt>
                      <c:pt idx="49">
                        <c:v>6.4488289462931461E-2</c:v>
                      </c:pt>
                      <c:pt idx="50">
                        <c:v>6.9965052526578919E-2</c:v>
                      </c:pt>
                      <c:pt idx="51">
                        <c:v>7.5664782556467164E-2</c:v>
                      </c:pt>
                      <c:pt idx="52">
                        <c:v>8.1613458996079816E-2</c:v>
                      </c:pt>
                      <c:pt idx="53">
                        <c:v>8.7838390720161197E-2</c:v>
                      </c:pt>
                      <c:pt idx="54">
                        <c:v>9.4367672497580685E-2</c:v>
                      </c:pt>
                      <c:pt idx="55">
                        <c:v>0.10122913124964453</c:v>
                      </c:pt>
                      <c:pt idx="56">
                        <c:v>0.10844843172321723</c:v>
                      </c:pt>
                      <c:pt idx="57">
                        <c:v>0.11604580031997315</c:v>
                      </c:pt>
                      <c:pt idx="58">
                        <c:v>0.12403047591861266</c:v>
                      </c:pt>
                      <c:pt idx="59">
                        <c:v>0.13239141369012558</c:v>
                      </c:pt>
                      <c:pt idx="60">
                        <c:v>0.14108179723877098</c:v>
                      </c:pt>
                      <c:pt idx="61">
                        <c:v>0.1499933103545317</c:v>
                      </c:pt>
                      <c:pt idx="62">
                        <c:v>0.15891352740297185</c:v>
                      </c:pt>
                      <c:pt idx="63">
                        <c:v>0.16745580514253688</c:v>
                      </c:pt>
                      <c:pt idx="64">
                        <c:v>0.17494567724574306</c:v>
                      </c:pt>
                      <c:pt idx="65">
                        <c:v>0.18024285986669925</c:v>
                      </c:pt>
                      <c:pt idx="66">
                        <c:v>0.18148204561416117</c:v>
                      </c:pt>
                      <c:pt idx="67">
                        <c:v>0.17575527449120504</c:v>
                      </c:pt>
                      <c:pt idx="68">
                        <c:v>0.15889725556330275</c:v>
                      </c:pt>
                      <c:pt idx="69">
                        <c:v>0.12586188633161921</c:v>
                      </c:pt>
                      <c:pt idx="70">
                        <c:v>7.2599725798905085E-2</c:v>
                      </c:pt>
                      <c:pt idx="71">
                        <c:v>-3.3951587672415018E-5</c:v>
                      </c:pt>
                      <c:pt idx="72">
                        <c:v>-8.2596263951819113E-2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194E-48E0-8664-DA386505F5A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Planet2</c:v>
                </c:tx>
                <c:spPr>
                  <a:ln w="19050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Sheet1!$L$9:$L$81</c15:sqref>
                        </c15:formulaRef>
                      </c:ext>
                    </c:extLst>
                    <c:numCache>
                      <c:formatCode>0.0000</c:formatCode>
                      <c:ptCount val="73"/>
                      <c:pt idx="0">
                        <c:v>-1.8927699263743165</c:v>
                      </c:pt>
                      <c:pt idx="1">
                        <c:v>-1.8260306960039081</c:v>
                      </c:pt>
                      <c:pt idx="2">
                        <c:v>-1.645063226265937</c:v>
                      </c:pt>
                      <c:pt idx="3">
                        <c:v>-1.4060089741430142</c:v>
                      </c:pt>
                      <c:pt idx="4">
                        <c:v>-1.1605110408385286</c:v>
                      </c:pt>
                      <c:pt idx="5">
                        <c:v>-0.93856038769676542</c:v>
                      </c:pt>
                      <c:pt idx="6">
                        <c:v>-0.75093979742575168</c:v>
                      </c:pt>
                      <c:pt idx="7">
                        <c:v>-0.59757775929268497</c:v>
                      </c:pt>
                      <c:pt idx="8">
                        <c:v>-0.47400715566782553</c:v>
                      </c:pt>
                      <c:pt idx="9">
                        <c:v>-0.37478576865508301</c:v>
                      </c:pt>
                      <c:pt idx="10">
                        <c:v>-0.29491092438390093</c:v>
                      </c:pt>
                      <c:pt idx="11">
                        <c:v>-0.23023860065694263</c:v>
                      </c:pt>
                      <c:pt idx="12">
                        <c:v>-0.17749120619033787</c:v>
                      </c:pt>
                      <c:pt idx="13">
                        <c:v>-0.13412915908840156</c:v>
                      </c:pt>
                      <c:pt idx="14">
                        <c:v>-9.8199397218229137E-2</c:v>
                      </c:pt>
                      <c:pt idx="15">
                        <c:v>-6.8200548832464236E-2</c:v>
                      </c:pt>
                      <c:pt idx="16">
                        <c:v>-4.2974417985469575E-2</c:v>
                      </c:pt>
                      <c:pt idx="17">
                        <c:v>-2.162247896245997E-2</c:v>
                      </c:pt>
                      <c:pt idx="18">
                        <c:v>-3.4429325894372565E-3</c:v>
                      </c:pt>
                      <c:pt idx="19">
                        <c:v>1.2116338086123661E-2</c:v>
                      </c:pt>
                      <c:pt idx="20">
                        <c:v>2.5492867199208003E-2</c:v>
                      </c:pt>
                      <c:pt idx="21">
                        <c:v>3.7035848369408361E-2</c:v>
                      </c:pt>
                      <c:pt idx="22">
                        <c:v>4.7025839785000245E-2</c:v>
                      </c:pt>
                      <c:pt idx="23">
                        <c:v>5.5689642920622791E-2</c:v>
                      </c:pt>
                      <c:pt idx="24">
                        <c:v>6.3211606367410883E-2</c:v>
                      </c:pt>
                      <c:pt idx="25">
                        <c:v>6.9742268173459701E-2</c:v>
                      </c:pt>
                      <c:pt idx="26">
                        <c:v>7.5405004149693283E-2</c:v>
                      </c:pt>
                      <c:pt idx="27">
                        <c:v>8.0301171451709938E-2</c:v>
                      </c:pt>
                      <c:pt idx="28">
                        <c:v>8.4514107699307742E-2</c:v>
                      </c:pt>
                      <c:pt idx="29">
                        <c:v>8.8112252134202859E-2</c:v>
                      </c:pt>
                      <c:pt idx="30">
                        <c:v>9.1151586852579528E-2</c:v>
                      </c:pt>
                      <c:pt idx="31">
                        <c:v>9.3677545823035127E-2</c:v>
                      </c:pt>
                      <c:pt idx="32">
                        <c:v>9.57265020972521E-2</c:v>
                      </c:pt>
                      <c:pt idx="33">
                        <c:v>9.7326915681143225E-2</c:v>
                      </c:pt>
                      <c:pt idx="34">
                        <c:v>9.8500203327240549E-2</c:v>
                      </c:pt>
                      <c:pt idx="35">
                        <c:v>9.9261375125927157E-2</c:v>
                      </c:pt>
                      <c:pt idx="36">
                        <c:v>9.9619469809174535E-2</c:v>
                      </c:pt>
                      <c:pt idx="37">
                        <c:v>9.9577810079403015E-2</c:v>
                      </c:pt>
                      <c:pt idx="38">
                        <c:v>9.9134090216470488E-2</c:v>
                      </c:pt>
                      <c:pt idx="39">
                        <c:v>9.8280300026254153E-2</c:v>
                      </c:pt>
                      <c:pt idx="40">
                        <c:v>9.7002481286814574E-2</c:v>
                      </c:pt>
                      <c:pt idx="41">
                        <c:v>9.5280304661265164E-2</c:v>
                      </c:pt>
                      <c:pt idx="42">
                        <c:v>9.3086445991596725E-2</c:v>
                      </c:pt>
                      <c:pt idx="43">
                        <c:v>9.0385730292086422E-2</c:v>
                      </c:pt>
                      <c:pt idx="44">
                        <c:v>8.7133998800547119E-2</c:v>
                      </c:pt>
                      <c:pt idx="45">
                        <c:v>8.3276638059819122E-2</c:v>
                      </c:pt>
                      <c:pt idx="46">
                        <c:v>7.8746688778593352E-2</c:v>
                      </c:pt>
                      <c:pt idx="47">
                        <c:v>7.3462424238713145E-2</c:v>
                      </c:pt>
                      <c:pt idx="48">
                        <c:v>6.7324250623921278E-2</c:v>
                      </c:pt>
                      <c:pt idx="49">
                        <c:v>6.0210731149212576E-2</c:v>
                      </c:pt>
                      <c:pt idx="50">
                        <c:v>5.1973467098667125E-2</c:v>
                      </c:pt>
                      <c:pt idx="51">
                        <c:v>4.2430474578352272E-2</c:v>
                      </c:pt>
                      <c:pt idx="52">
                        <c:v>3.1357565809882013E-2</c:v>
                      </c:pt>
                      <c:pt idx="53">
                        <c:v>1.8477064052667407E-2</c:v>
                      </c:pt>
                      <c:pt idx="54">
                        <c:v>3.4429325894372786E-3</c:v>
                      </c:pt>
                      <c:pt idx="55">
                        <c:v>-1.4178944480708191E-2</c:v>
                      </c:pt>
                      <c:pt idx="56">
                        <c:v>-3.4937059123434255E-2</c:v>
                      </c:pt>
                      <c:pt idx="57">
                        <c:v>-5.9529505865066272E-2</c:v>
                      </c:pt>
                      <c:pt idx="58">
                        <c:v>-8.8851280823758469E-2</c:v>
                      </c:pt>
                      <c:pt idx="59">
                        <c:v>-0.12405770254417808</c:v>
                      </c:pt>
                      <c:pt idx="60">
                        <c:v>-0.16664878042317427</c:v>
                      </c:pt>
                      <c:pt idx="61">
                        <c:v>-0.21857925867952369</c:v>
                      </c:pt>
                      <c:pt idx="62">
                        <c:v>-0.28239612130844388</c:v>
                      </c:pt>
                      <c:pt idx="63">
                        <c:v>-0.36139470765875992</c:v>
                      </c:pt>
                      <c:pt idx="64">
                        <c:v>-0.45975500213243492</c:v>
                      </c:pt>
                      <c:pt idx="65">
                        <c:v>-0.58254684701263126</c:v>
                      </c:pt>
                      <c:pt idx="66">
                        <c:v>-0.73533105101349483</c:v>
                      </c:pt>
                      <c:pt idx="67">
                        <c:v>-0.92277238237980641</c:v>
                      </c:pt>
                      <c:pt idx="68">
                        <c:v>-1.1452455763089247</c:v>
                      </c:pt>
                      <c:pt idx="69">
                        <c:v>-1.3923697509754485</c:v>
                      </c:pt>
                      <c:pt idx="70">
                        <c:v>-1.6345443017586638</c:v>
                      </c:pt>
                      <c:pt idx="71">
                        <c:v>-1.8202279982153673</c:v>
                      </c:pt>
                      <c:pt idx="72">
                        <c:v>-1.8927699263743165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Sheet1!$M$9:$M$81</c15:sqref>
                        </c15:formulaRef>
                      </c:ext>
                    </c:extLst>
                    <c:numCache>
                      <c:formatCode>0.0000</c:formatCode>
                      <c:ptCount val="73"/>
                      <c:pt idx="0">
                        <c:v>2.3189241507949964E-16</c:v>
                      </c:pt>
                      <c:pt idx="1">
                        <c:v>-0.15661358547085219</c:v>
                      </c:pt>
                      <c:pt idx="2">
                        <c:v>-0.28390354666318507</c:v>
                      </c:pt>
                      <c:pt idx="3">
                        <c:v>-0.3681197472541165</c:v>
                      </c:pt>
                      <c:pt idx="4">
                        <c:v>-0.4120116575053776</c:v>
                      </c:pt>
                      <c:pt idx="5">
                        <c:v>-0.42611492278728624</c:v>
                      </c:pt>
                      <c:pt idx="6">
                        <c:v>-0.42127676288022403</c:v>
                      </c:pt>
                      <c:pt idx="7">
                        <c:v>-0.40568114192090077</c:v>
                      </c:pt>
                      <c:pt idx="8">
                        <c:v>-0.38466260818658715</c:v>
                      </c:pt>
                      <c:pt idx="9">
                        <c:v>-0.36142190276299696</c:v>
                      </c:pt>
                      <c:pt idx="10">
                        <c:v>-0.33777188689364723</c:v>
                      </c:pt>
                      <c:pt idx="11">
                        <c:v>-0.31468317287184477</c:v>
                      </c:pt>
                      <c:pt idx="12">
                        <c:v>-0.29263477721525827</c:v>
                      </c:pt>
                      <c:pt idx="13">
                        <c:v>-0.27182648102399809</c:v>
                      </c:pt>
                      <c:pt idx="14">
                        <c:v>-0.25230368343982412</c:v>
                      </c:pt>
                      <c:pt idx="15">
                        <c:v>-0.23402961491081428</c:v>
                      </c:pt>
                      <c:pt idx="16">
                        <c:v>-0.21692661499365196</c:v>
                      </c:pt>
                      <c:pt idx="17">
                        <c:v>-0.20089942062211943</c:v>
                      </c:pt>
                      <c:pt idx="18">
                        <c:v>-0.18584804413942302</c:v>
                      </c:pt>
                      <c:pt idx="19">
                        <c:v>-0.17167464791725962</c:v>
                      </c:pt>
                      <c:pt idx="20">
                        <c:v>-0.15828697454095506</c:v>
                      </c:pt>
                      <c:pt idx="21">
                        <c:v>-0.14559981988485252</c:v>
                      </c:pt>
                      <c:pt idx="22">
                        <c:v>-0.13353541428559809</c:v>
                      </c:pt>
                      <c:pt idx="23">
                        <c:v>-0.12202321463437682</c:v>
                      </c:pt>
                      <c:pt idx="24">
                        <c:v>-0.11099939825406349</c:v>
                      </c:pt>
                      <c:pt idx="25">
                        <c:v>-0.10040622502193217</c:v>
                      </c:pt>
                      <c:pt idx="26">
                        <c:v>-9.0191361038724119E-2</c:v>
                      </c:pt>
                      <c:pt idx="27">
                        <c:v>-8.0307214148743658E-2</c:v>
                      </c:pt>
                      <c:pt idx="28">
                        <c:v>-7.0710306457553954E-2</c:v>
                      </c:pt>
                      <c:pt idx="29">
                        <c:v>-6.1360694416822854E-2</c:v>
                      </c:pt>
                      <c:pt idx="30">
                        <c:v>-5.2221438748879266E-2</c:v>
                      </c:pt>
                      <c:pt idx="31">
                        <c:v>-4.3258121902542412E-2</c:v>
                      </c:pt>
                      <c:pt idx="32">
                        <c:v>-3.4438408331072243E-2</c:v>
                      </c:pt>
                      <c:pt idx="33">
                        <c:v>-2.5731641739893688E-2</c:v>
                      </c:pt>
                      <c:pt idx="34">
                        <c:v>-1.7108473010832705E-2</c:v>
                      </c:pt>
                      <c:pt idx="35">
                        <c:v>-8.5405124371674534E-3</c:v>
                      </c:pt>
                      <c:pt idx="36">
                        <c:v>-2.4188624168668567E-17</c:v>
                      </c:pt>
                      <c:pt idx="37">
                        <c:v>8.5405124371674065E-3</c:v>
                      </c:pt>
                      <c:pt idx="38">
                        <c:v>1.7108473010832702E-2</c:v>
                      </c:pt>
                      <c:pt idx="39">
                        <c:v>2.5731641739893642E-2</c:v>
                      </c:pt>
                      <c:pt idx="40">
                        <c:v>3.4438408331072187E-2</c:v>
                      </c:pt>
                      <c:pt idx="41">
                        <c:v>4.3258121902542357E-2</c:v>
                      </c:pt>
                      <c:pt idx="42">
                        <c:v>5.2221438748879266E-2</c:v>
                      </c:pt>
                      <c:pt idx="43">
                        <c:v>6.1360694416822847E-2</c:v>
                      </c:pt>
                      <c:pt idx="44">
                        <c:v>7.0710306457553912E-2</c:v>
                      </c:pt>
                      <c:pt idx="45">
                        <c:v>8.0307214148743616E-2</c:v>
                      </c:pt>
                      <c:pt idx="46">
                        <c:v>9.0191361038724077E-2</c:v>
                      </c:pt>
                      <c:pt idx="47">
                        <c:v>0.10040622502193212</c:v>
                      </c:pt>
                      <c:pt idx="48">
                        <c:v>0.11099939825406337</c:v>
                      </c:pt>
                      <c:pt idx="49">
                        <c:v>0.12202321463437679</c:v>
                      </c:pt>
                      <c:pt idx="50">
                        <c:v>0.13353541428559812</c:v>
                      </c:pt>
                      <c:pt idx="51">
                        <c:v>0.14559981988485252</c:v>
                      </c:pt>
                      <c:pt idx="52">
                        <c:v>0.15828697454095506</c:v>
                      </c:pt>
                      <c:pt idx="53">
                        <c:v>0.17167464791725962</c:v>
                      </c:pt>
                      <c:pt idx="54">
                        <c:v>0.18584804413942296</c:v>
                      </c:pt>
                      <c:pt idx="55">
                        <c:v>0.20089942062211941</c:v>
                      </c:pt>
                      <c:pt idx="56">
                        <c:v>0.2169266149936519</c:v>
                      </c:pt>
                      <c:pt idx="57">
                        <c:v>0.23402961491081417</c:v>
                      </c:pt>
                      <c:pt idx="58">
                        <c:v>0.25230368343982418</c:v>
                      </c:pt>
                      <c:pt idx="59">
                        <c:v>0.27182648102399815</c:v>
                      </c:pt>
                      <c:pt idx="60">
                        <c:v>0.29263477721525827</c:v>
                      </c:pt>
                      <c:pt idx="61">
                        <c:v>0.31468317287184477</c:v>
                      </c:pt>
                      <c:pt idx="62">
                        <c:v>0.33777188689364729</c:v>
                      </c:pt>
                      <c:pt idx="63">
                        <c:v>0.3614219027629969</c:v>
                      </c:pt>
                      <c:pt idx="64">
                        <c:v>0.38466260818658732</c:v>
                      </c:pt>
                      <c:pt idx="65">
                        <c:v>0.40568114192090104</c:v>
                      </c:pt>
                      <c:pt idx="66">
                        <c:v>0.42127676288022403</c:v>
                      </c:pt>
                      <c:pt idx="67">
                        <c:v>0.42611492278728652</c:v>
                      </c:pt>
                      <c:pt idx="68">
                        <c:v>0.41201165750537783</c:v>
                      </c:pt>
                      <c:pt idx="69">
                        <c:v>0.36811974725411678</c:v>
                      </c:pt>
                      <c:pt idx="70">
                        <c:v>0.28390354666318562</c:v>
                      </c:pt>
                      <c:pt idx="71">
                        <c:v>0.15661358547085291</c:v>
                      </c:pt>
                      <c:pt idx="72">
                        <c:v>6.8727530332990598E-16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94E-48E0-8664-DA386505F5A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Planet1 Y/Z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Sheet1!$B$9:$B$81</c15:sqref>
                        </c15:formulaRef>
                      </c:ext>
                    </c:extLst>
                    <c:numCache>
                      <c:formatCode>0.0000</c:formatCode>
                      <c:ptCount val="73"/>
                      <c:pt idx="0">
                        <c:v>0.94407961698197618</c:v>
                      </c:pt>
                      <c:pt idx="1">
                        <c:v>0.90199571718597249</c:v>
                      </c:pt>
                      <c:pt idx="2">
                        <c:v>0.8045836680971632</c:v>
                      </c:pt>
                      <c:pt idx="3">
                        <c:v>0.68061804035532403</c:v>
                      </c:pt>
                      <c:pt idx="4">
                        <c:v>0.55570307163804256</c:v>
                      </c:pt>
                      <c:pt idx="5">
                        <c:v>0.44420602228697365</c:v>
                      </c:pt>
                      <c:pt idx="6">
                        <c:v>0.35089596008254775</c:v>
                      </c:pt>
                      <c:pt idx="7">
                        <c:v>0.27527759736923063</c:v>
                      </c:pt>
                      <c:pt idx="8">
                        <c:v>0.21482322274838186</c:v>
                      </c:pt>
                      <c:pt idx="9">
                        <c:v>0.16663859902348549</c:v>
                      </c:pt>
                      <c:pt idx="10">
                        <c:v>0.12812667033930464</c:v>
                      </c:pt>
                      <c:pt idx="11">
                        <c:v>9.7165962381449214E-2</c:v>
                      </c:pt>
                      <c:pt idx="12">
                        <c:v>7.2094769498175018E-2</c:v>
                      </c:pt>
                      <c:pt idx="13">
                        <c:v>5.1635173987636521E-2</c:v>
                      </c:pt>
                      <c:pt idx="14">
                        <c:v>3.4810473904012824E-2</c:v>
                      </c:pt>
                      <c:pt idx="15">
                        <c:v>2.0873877020490646E-2</c:v>
                      </c:pt>
                      <c:pt idx="16">
                        <c:v>9.2520575038537323E-3</c:v>
                      </c:pt>
                      <c:pt idx="17">
                        <c:v>-4.9780305507754648E-4</c:v>
                      </c:pt>
                      <c:pt idx="18">
                        <c:v>-8.7201340654693756E-3</c:v>
                      </c:pt>
                      <c:pt idx="19">
                        <c:v>-1.5684826882627262E-2</c:v>
                      </c:pt>
                      <c:pt idx="20">
                        <c:v>-2.1604934402305022E-2</c:v>
                      </c:pt>
                      <c:pt idx="21">
                        <c:v>-2.6649842978660659E-2</c:v>
                      </c:pt>
                      <c:pt idx="22">
                        <c:v>-3.0955122373059495E-2</c:v>
                      </c:pt>
                      <c:pt idx="23">
                        <c:v>-3.4629935314707976E-2</c:v>
                      </c:pt>
                      <c:pt idx="24">
                        <c:v>-3.7762647223587131E-2</c:v>
                      </c:pt>
                      <c:pt idx="25">
                        <c:v>-4.042510103072218E-2</c:v>
                      </c:pt>
                      <c:pt idx="26">
                        <c:v>-4.2675895250244233E-2</c:v>
                      </c:pt>
                      <c:pt idx="27">
                        <c:v>-4.4562912187721751E-2</c:v>
                      </c:pt>
                      <c:pt idx="28">
                        <c:v>-4.6125277389079553E-2</c:v>
                      </c:pt>
                      <c:pt idx="29">
                        <c:v>-4.7394883849367124E-2</c:v>
                      </c:pt>
                      <c:pt idx="30">
                        <c:v>-4.8397579886121152E-2</c:v>
                      </c:pt>
                      <c:pt idx="31">
                        <c:v>-4.9154094223052044E-2</c:v>
                      </c:pt>
                      <c:pt idx="32">
                        <c:v>-4.9680753088776675E-2</c:v>
                      </c:pt>
                      <c:pt idx="33">
                        <c:v>-4.9990030135353171E-2</c:v>
                      </c:pt>
                      <c:pt idx="34">
                        <c:v>-5.0090959378953213E-2</c:v>
                      </c:pt>
                      <c:pt idx="35">
                        <c:v>-4.9989433189308013E-2</c:v>
                      </c:pt>
                      <c:pt idx="36">
                        <c:v>-4.9688400893788211E-2</c:v>
                      </c:pt>
                      <c:pt idx="37">
                        <c:v>-4.9187978282588224E-2</c:v>
                      </c:pt>
                      <c:pt idx="38">
                        <c:v>-4.8485473789898481E-2</c:v>
                      </c:pt>
                      <c:pt idx="39">
                        <c:v>-4.7575333045206045E-2</c:v>
                      </c:pt>
                      <c:pt idx="40">
                        <c:v>-4.6448999544757279E-2</c:v>
                      </c:pt>
                      <c:pt idx="41">
                        <c:v>-4.5094685105702401E-2</c:v>
                      </c:pt>
                      <c:pt idx="42">
                        <c:v>-4.3497039241848341E-2</c:v>
                      </c:pt>
                      <c:pt idx="43">
                        <c:v>-4.1636701306820893E-2</c:v>
                      </c:pt>
                      <c:pt idx="44">
                        <c:v>-3.9489712780632881E-2</c:v>
                      </c:pt>
                      <c:pt idx="45">
                        <c:v>-3.7026758906753714E-2</c:v>
                      </c:pt>
                      <c:pt idx="46">
                        <c:v>-3.4212198325730914E-2</c:v>
                      </c:pt>
                      <c:pt idx="47">
                        <c:v>-3.100282545872754E-2</c:v>
                      </c:pt>
                      <c:pt idx="48">
                        <c:v>-2.7346291878618117E-2</c:v>
                      </c:pt>
                      <c:pt idx="49">
                        <c:v>-2.3179087977158855E-2</c:v>
                      </c:pt>
                      <c:pt idx="50">
                        <c:v>-1.8423952400833755E-2</c:v>
                      </c:pt>
                      <c:pt idx="51">
                        <c:v>-1.2986530510850993E-2</c:v>
                      </c:pt>
                      <c:pt idx="52">
                        <c:v>-6.7510397034812987E-3</c:v>
                      </c:pt>
                      <c:pt idx="53">
                        <c:v>4.2538780822727086E-4</c:v>
                      </c:pt>
                      <c:pt idx="54">
                        <c:v>8.72013406546936E-3</c:v>
                      </c:pt>
                      <c:pt idx="55">
                        <c:v>1.8354909542594468E-2</c:v>
                      </c:pt>
                      <c:pt idx="56">
                        <c:v>2.9608786829388105E-2</c:v>
                      </c:pt>
                      <c:pt idx="57">
                        <c:v>4.2835578331498057E-2</c:v>
                      </c:pt>
                      <c:pt idx="58">
                        <c:v>5.8487042091692934E-2</c:v>
                      </c:pt>
                      <c:pt idx="59">
                        <c:v>7.7143791719397961E-2</c:v>
                      </c:pt>
                      <c:pt idx="60">
                        <c:v>9.9556069953093421E-2</c:v>
                      </c:pt>
                      <c:pt idx="61">
                        <c:v>0.12669631841286547</c:v>
                      </c:pt>
                      <c:pt idx="62">
                        <c:v>0.15982370703288976</c:v>
                      </c:pt>
                      <c:pt idx="63">
                        <c:v>0.20055498981343634</c:v>
                      </c:pt>
                      <c:pt idx="64">
                        <c:v>0.25092055730890861</c:v>
                      </c:pt>
                      <c:pt idx="65">
                        <c:v>0.31334734366937517</c:v>
                      </c:pt>
                      <c:pt idx="66">
                        <c:v>0.39042922359353222</c:v>
                      </c:pt>
                      <c:pt idx="67">
                        <c:v>0.48419330621248785</c:v>
                      </c:pt>
                      <c:pt idx="68">
                        <c:v>0.59436688331945942</c:v>
                      </c:pt>
                      <c:pt idx="69">
                        <c:v>0.7151629672397245</c:v>
                      </c:pt>
                      <c:pt idx="70">
                        <c:v>0.83122561636225201</c:v>
                      </c:pt>
                      <c:pt idx="71">
                        <c:v>0.91669257846426655</c:v>
                      </c:pt>
                      <c:pt idx="72">
                        <c:v>0.94407961698197618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Sheet1!$D$9:$D$81</c15:sqref>
                        </c15:formulaRef>
                      </c:ext>
                    </c:extLst>
                    <c:numCache>
                      <c:formatCode>0.0000</c:formatCode>
                      <c:ptCount val="73"/>
                      <c:pt idx="0">
                        <c:v>-6.6268650056919245E-2</c:v>
                      </c:pt>
                      <c:pt idx="1">
                        <c:v>-6.940126699068376E-2</c:v>
                      </c:pt>
                      <c:pt idx="2">
                        <c:v>-6.7510547013986413E-2</c:v>
                      </c:pt>
                      <c:pt idx="3">
                        <c:v>-6.2081902968626555E-2</c:v>
                      </c:pt>
                      <c:pt idx="4">
                        <c:v>-5.5019452463436848E-2</c:v>
                      </c:pt>
                      <c:pt idx="5">
                        <c:v>-4.7741148535689018E-2</c:v>
                      </c:pt>
                      <c:pt idx="6">
                        <c:v>-4.1003318520849256E-2</c:v>
                      </c:pt>
                      <c:pt idx="7">
                        <c:v>-3.5089258889065375E-2</c:v>
                      </c:pt>
                      <c:pt idx="8">
                        <c:v>-3.0028862248132789E-2</c:v>
                      </c:pt>
                      <c:pt idx="9">
                        <c:v>-2.5743364761138504E-2</c:v>
                      </c:pt>
                      <c:pt idx="10">
                        <c:v>-2.2120924171034249E-2</c:v>
                      </c:pt>
                      <c:pt idx="11">
                        <c:v>-1.9050347880509785E-2</c:v>
                      </c:pt>
                      <c:pt idx="12">
                        <c:v>-1.643361081491352E-2</c:v>
                      </c:pt>
                      <c:pt idx="13">
                        <c:v>-1.4188775238838257E-2</c:v>
                      </c:pt>
                      <c:pt idx="14">
                        <c:v>-1.2249047011237362E-2</c:v>
                      </c:pt>
                      <c:pt idx="15">
                        <c:v>-1.0560576840859157E-2</c:v>
                      </c:pt>
                      <c:pt idx="16">
                        <c:v>-9.0801025338292478E-3</c:v>
                      </c:pt>
                      <c:pt idx="17">
                        <c:v>-7.7728386134476909E-3</c:v>
                      </c:pt>
                      <c:pt idx="18">
                        <c:v>-6.6107222956031065E-3</c:v>
                      </c:pt>
                      <c:pt idx="19">
                        <c:v>-5.5710064734371782E-3</c:v>
                      </c:pt>
                      <c:pt idx="20">
                        <c:v>-4.6351506245838059E-3</c:v>
                      </c:pt>
                      <c:pt idx="21">
                        <c:v>-3.7879534723952073E-3</c:v>
                      </c:pt>
                      <c:pt idx="22">
                        <c:v>-3.0168763933821575E-3</c:v>
                      </c:pt>
                      <c:pt idx="23">
                        <c:v>-2.3115152309456451E-3</c:v>
                      </c:pt>
                      <c:pt idx="24">
                        <c:v>-1.6631868569038015E-3</c:v>
                      </c:pt>
                      <c:pt idx="25">
                        <c:v>-1.0646043145491352E-3</c:v>
                      </c:pt>
                      <c:pt idx="26">
                        <c:v>-5.0962043290336866E-4</c:v>
                      </c:pt>
                      <c:pt idx="27">
                        <c:v>6.9754625723747118E-6</c:v>
                      </c:pt>
                      <c:pt idx="28">
                        <c:v>4.8961947793455538E-4</c:v>
                      </c:pt>
                      <c:pt idx="29">
                        <c:v>9.4210267884550086E-4</c:v>
                      </c:pt>
                      <c:pt idx="30">
                        <c:v>1.3676750729837578E-3</c:v>
                      </c:pt>
                      <c:pt idx="31">
                        <c:v>1.7691292989550809E-3</c:v>
                      </c:pt>
                      <c:pt idx="32">
                        <c:v>2.1488680516794784E-3</c:v>
                      </c:pt>
                      <c:pt idx="33">
                        <c:v>2.5089583359465366E-3</c:v>
                      </c:pt>
                      <c:pt idx="34">
                        <c:v>2.8511749127415049E-3</c:v>
                      </c:pt>
                      <c:pt idx="35">
                        <c:v>3.1770347318753915E-3</c:v>
                      </c:pt>
                      <c:pt idx="36">
                        <c:v>3.4878236872062751E-3</c:v>
                      </c:pt>
                      <c:pt idx="37">
                        <c:v>3.7846166544691301E-3</c:v>
                      </c:pt>
                      <c:pt idx="38">
                        <c:v>4.0682914500733552E-3</c:v>
                      </c:pt>
                      <c:pt idx="39">
                        <c:v>4.3395370599795344E-3</c:v>
                      </c:pt>
                      <c:pt idx="40">
                        <c:v>4.5988562109146713E-3</c:v>
                      </c:pt>
                      <c:pt idx="41">
                        <c:v>4.8465620720707508E-3</c:v>
                      </c:pt>
                      <c:pt idx="42">
                        <c:v>5.0827685628749225E-3</c:v>
                      </c:pt>
                      <c:pt idx="43">
                        <c:v>5.3073733765631511E-3</c:v>
                      </c:pt>
                      <c:pt idx="44">
                        <c:v>5.5200323788871467E-3</c:v>
                      </c:pt>
                      <c:pt idx="45">
                        <c:v>5.720123465061986E-3</c:v>
                      </c:pt>
                      <c:pt idx="46">
                        <c:v>5.9066971996049565E-3</c:v>
                      </c:pt>
                      <c:pt idx="47">
                        <c:v>6.0784105441047346E-3</c:v>
                      </c:pt>
                      <c:pt idx="48">
                        <c:v>6.2334385849671936E-3</c:v>
                      </c:pt>
                      <c:pt idx="49">
                        <c:v>6.3693572452745645E-3</c:v>
                      </c:pt>
                      <c:pt idx="50">
                        <c:v>6.4829872673637257E-3</c:v>
                      </c:pt>
                      <c:pt idx="51">
                        <c:v>6.5701859420450055E-3</c:v>
                      </c:pt>
                      <c:pt idx="52">
                        <c:v>6.625567630986871E-3</c:v>
                      </c:pt>
                      <c:pt idx="53">
                        <c:v>6.6421263344071235E-3</c:v>
                      </c:pt>
                      <c:pt idx="54">
                        <c:v>6.6107222956031057E-3</c:v>
                      </c:pt>
                      <c:pt idx="55">
                        <c:v>6.5193782912839997E-3</c:v>
                      </c:pt>
                      <c:pt idx="56">
                        <c:v>6.3523074965117724E-3</c:v>
                      </c:pt>
                      <c:pt idx="57">
                        <c:v>6.0885603646063206E-3</c:v>
                      </c:pt>
                      <c:pt idx="58">
                        <c:v>5.7001285434665604E-3</c:v>
                      </c:pt>
                      <c:pt idx="59">
                        <c:v>5.1492746928854718E-3</c:v>
                      </c:pt>
                      <c:pt idx="60">
                        <c:v>4.384765350019108E-3</c:v>
                      </c:pt>
                      <c:pt idx="61">
                        <c:v>3.3365766264213132E-3</c:v>
                      </c:pt>
                      <c:pt idx="62">
                        <c:v>1.9085581283934863E-3</c:v>
                      </c:pt>
                      <c:pt idx="63">
                        <c:v>-3.1393007244528981E-5</c:v>
                      </c:pt>
                      <c:pt idx="64">
                        <c:v>-2.6635198578062527E-3</c:v>
                      </c:pt>
                      <c:pt idx="65">
                        <c:v>-6.2286337238060575E-3</c:v>
                      </c:pt>
                      <c:pt idx="66">
                        <c:v>-1.1033202861170403E-2</c:v>
                      </c:pt>
                      <c:pt idx="67">
                        <c:v>-1.7426840590152051E-2</c:v>
                      </c:pt>
                      <c:pt idx="68">
                        <c:v>-2.5708467105141894E-2</c:v>
                      </c:pt>
                      <c:pt idx="69">
                        <c:v>-3.5893438818862013E-2</c:v>
                      </c:pt>
                      <c:pt idx="70">
                        <c:v>-4.7313320678699963E-2</c:v>
                      </c:pt>
                      <c:pt idx="71">
                        <c:v>-5.8259595567014599E-2</c:v>
                      </c:pt>
                      <c:pt idx="72">
                        <c:v>-6.6268650056919232E-2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156-469D-A974-768DB451DC4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Planet2 Y/Z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Sheet1!$L$9:$L$81</c15:sqref>
                        </c15:formulaRef>
                      </c:ext>
                    </c:extLst>
                    <c:numCache>
                      <c:formatCode>0.0000</c:formatCode>
                      <c:ptCount val="73"/>
                      <c:pt idx="0">
                        <c:v>-1.8927699263743165</c:v>
                      </c:pt>
                      <c:pt idx="1">
                        <c:v>-1.8260306960039081</c:v>
                      </c:pt>
                      <c:pt idx="2">
                        <c:v>-1.645063226265937</c:v>
                      </c:pt>
                      <c:pt idx="3">
                        <c:v>-1.4060089741430142</c:v>
                      </c:pt>
                      <c:pt idx="4">
                        <c:v>-1.1605110408385286</c:v>
                      </c:pt>
                      <c:pt idx="5">
                        <c:v>-0.93856038769676542</c:v>
                      </c:pt>
                      <c:pt idx="6">
                        <c:v>-0.75093979742575168</c:v>
                      </c:pt>
                      <c:pt idx="7">
                        <c:v>-0.59757775929268497</c:v>
                      </c:pt>
                      <c:pt idx="8">
                        <c:v>-0.47400715566782553</c:v>
                      </c:pt>
                      <c:pt idx="9">
                        <c:v>-0.37478576865508301</c:v>
                      </c:pt>
                      <c:pt idx="10">
                        <c:v>-0.29491092438390093</c:v>
                      </c:pt>
                      <c:pt idx="11">
                        <c:v>-0.23023860065694263</c:v>
                      </c:pt>
                      <c:pt idx="12">
                        <c:v>-0.17749120619033787</c:v>
                      </c:pt>
                      <c:pt idx="13">
                        <c:v>-0.13412915908840156</c:v>
                      </c:pt>
                      <c:pt idx="14">
                        <c:v>-9.8199397218229137E-2</c:v>
                      </c:pt>
                      <c:pt idx="15">
                        <c:v>-6.8200548832464236E-2</c:v>
                      </c:pt>
                      <c:pt idx="16">
                        <c:v>-4.2974417985469575E-2</c:v>
                      </c:pt>
                      <c:pt idx="17">
                        <c:v>-2.162247896245997E-2</c:v>
                      </c:pt>
                      <c:pt idx="18">
                        <c:v>-3.4429325894372565E-3</c:v>
                      </c:pt>
                      <c:pt idx="19">
                        <c:v>1.2116338086123661E-2</c:v>
                      </c:pt>
                      <c:pt idx="20">
                        <c:v>2.5492867199208003E-2</c:v>
                      </c:pt>
                      <c:pt idx="21">
                        <c:v>3.7035848369408361E-2</c:v>
                      </c:pt>
                      <c:pt idx="22">
                        <c:v>4.7025839785000245E-2</c:v>
                      </c:pt>
                      <c:pt idx="23">
                        <c:v>5.5689642920622791E-2</c:v>
                      </c:pt>
                      <c:pt idx="24">
                        <c:v>6.3211606367410883E-2</c:v>
                      </c:pt>
                      <c:pt idx="25">
                        <c:v>6.9742268173459701E-2</c:v>
                      </c:pt>
                      <c:pt idx="26">
                        <c:v>7.5405004149693283E-2</c:v>
                      </c:pt>
                      <c:pt idx="27">
                        <c:v>8.0301171451709938E-2</c:v>
                      </c:pt>
                      <c:pt idx="28">
                        <c:v>8.4514107699307742E-2</c:v>
                      </c:pt>
                      <c:pt idx="29">
                        <c:v>8.8112252134202859E-2</c:v>
                      </c:pt>
                      <c:pt idx="30">
                        <c:v>9.1151586852579528E-2</c:v>
                      </c:pt>
                      <c:pt idx="31">
                        <c:v>9.3677545823035127E-2</c:v>
                      </c:pt>
                      <c:pt idx="32">
                        <c:v>9.57265020972521E-2</c:v>
                      </c:pt>
                      <c:pt idx="33">
                        <c:v>9.7326915681143225E-2</c:v>
                      </c:pt>
                      <c:pt idx="34">
                        <c:v>9.8500203327240549E-2</c:v>
                      </c:pt>
                      <c:pt idx="35">
                        <c:v>9.9261375125927157E-2</c:v>
                      </c:pt>
                      <c:pt idx="36">
                        <c:v>9.9619469809174535E-2</c:v>
                      </c:pt>
                      <c:pt idx="37">
                        <c:v>9.9577810079403015E-2</c:v>
                      </c:pt>
                      <c:pt idx="38">
                        <c:v>9.9134090216470488E-2</c:v>
                      </c:pt>
                      <c:pt idx="39">
                        <c:v>9.8280300026254153E-2</c:v>
                      </c:pt>
                      <c:pt idx="40">
                        <c:v>9.7002481286814574E-2</c:v>
                      </c:pt>
                      <c:pt idx="41">
                        <c:v>9.5280304661265164E-2</c:v>
                      </c:pt>
                      <c:pt idx="42">
                        <c:v>9.3086445991596725E-2</c:v>
                      </c:pt>
                      <c:pt idx="43">
                        <c:v>9.0385730292086422E-2</c:v>
                      </c:pt>
                      <c:pt idx="44">
                        <c:v>8.7133998800547119E-2</c:v>
                      </c:pt>
                      <c:pt idx="45">
                        <c:v>8.3276638059819122E-2</c:v>
                      </c:pt>
                      <c:pt idx="46">
                        <c:v>7.8746688778593352E-2</c:v>
                      </c:pt>
                      <c:pt idx="47">
                        <c:v>7.3462424238713145E-2</c:v>
                      </c:pt>
                      <c:pt idx="48">
                        <c:v>6.7324250623921278E-2</c:v>
                      </c:pt>
                      <c:pt idx="49">
                        <c:v>6.0210731149212576E-2</c:v>
                      </c:pt>
                      <c:pt idx="50">
                        <c:v>5.1973467098667125E-2</c:v>
                      </c:pt>
                      <c:pt idx="51">
                        <c:v>4.2430474578352272E-2</c:v>
                      </c:pt>
                      <c:pt idx="52">
                        <c:v>3.1357565809882013E-2</c:v>
                      </c:pt>
                      <c:pt idx="53">
                        <c:v>1.8477064052667407E-2</c:v>
                      </c:pt>
                      <c:pt idx="54">
                        <c:v>3.4429325894372786E-3</c:v>
                      </c:pt>
                      <c:pt idx="55">
                        <c:v>-1.4178944480708191E-2</c:v>
                      </c:pt>
                      <c:pt idx="56">
                        <c:v>-3.4937059123434255E-2</c:v>
                      </c:pt>
                      <c:pt idx="57">
                        <c:v>-5.9529505865066272E-2</c:v>
                      </c:pt>
                      <c:pt idx="58">
                        <c:v>-8.8851280823758469E-2</c:v>
                      </c:pt>
                      <c:pt idx="59">
                        <c:v>-0.12405770254417808</c:v>
                      </c:pt>
                      <c:pt idx="60">
                        <c:v>-0.16664878042317427</c:v>
                      </c:pt>
                      <c:pt idx="61">
                        <c:v>-0.21857925867952369</c:v>
                      </c:pt>
                      <c:pt idx="62">
                        <c:v>-0.28239612130844388</c:v>
                      </c:pt>
                      <c:pt idx="63">
                        <c:v>-0.36139470765875992</c:v>
                      </c:pt>
                      <c:pt idx="64">
                        <c:v>-0.45975500213243492</c:v>
                      </c:pt>
                      <c:pt idx="65">
                        <c:v>-0.58254684701263126</c:v>
                      </c:pt>
                      <c:pt idx="66">
                        <c:v>-0.73533105101349483</c:v>
                      </c:pt>
                      <c:pt idx="67">
                        <c:v>-0.92277238237980641</c:v>
                      </c:pt>
                      <c:pt idx="68">
                        <c:v>-1.1452455763089247</c:v>
                      </c:pt>
                      <c:pt idx="69">
                        <c:v>-1.3923697509754485</c:v>
                      </c:pt>
                      <c:pt idx="70">
                        <c:v>-1.6345443017586638</c:v>
                      </c:pt>
                      <c:pt idx="71">
                        <c:v>-1.8202279982153673</c:v>
                      </c:pt>
                      <c:pt idx="72">
                        <c:v>-1.8927699263743165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Sheet1!$N$9:$N$81</c15:sqref>
                        </c15:formulaRef>
                      </c:ext>
                    </c:extLst>
                    <c:numCache>
                      <c:formatCode>0.0000</c:formatCode>
                      <c:ptCount val="73"/>
                      <c:pt idx="0">
                        <c:v>-0.16559591122055051</c:v>
                      </c:pt>
                      <c:pt idx="1">
                        <c:v>-0.12634058040344448</c:v>
                      </c:pt>
                      <c:pt idx="2">
                        <c:v>-8.3348311114749968E-2</c:v>
                      </c:pt>
                      <c:pt idx="3">
                        <c:v>-4.4464690262841847E-2</c:v>
                      </c:pt>
                      <c:pt idx="4">
                        <c:v>-1.362125342548276E-2</c:v>
                      </c:pt>
                      <c:pt idx="5">
                        <c:v>8.8061050490584186E-3</c:v>
                      </c:pt>
                      <c:pt idx="6">
                        <c:v>2.4188468852562706E-2</c:v>
                      </c:pt>
                      <c:pt idx="7">
                        <c:v>3.4278294459759127E-2</c:v>
                      </c:pt>
                      <c:pt idx="8">
                        <c:v>4.0604628549733984E-2</c:v>
                      </c:pt>
                      <c:pt idx="9">
                        <c:v>4.4326540795429137E-2</c:v>
                      </c:pt>
                      <c:pt idx="10">
                        <c:v>4.6268515919753478E-2</c:v>
                      </c:pt>
                      <c:pt idx="11">
                        <c:v>4.7000206968882255E-2</c:v>
                      </c:pt>
                      <c:pt idx="12">
                        <c:v>4.691057305642049E-2</c:v>
                      </c:pt>
                      <c:pt idx="13">
                        <c:v>4.6264425800637575E-2</c:v>
                      </c:pt>
                      <c:pt idx="14">
                        <c:v>4.5242322743794465E-2</c:v>
                      </c:pt>
                      <c:pt idx="15">
                        <c:v>4.3967771429633554E-2</c:v>
                      </c:pt>
                      <c:pt idx="16">
                        <c:v>4.2525530581767744E-2</c:v>
                      </c:pt>
                      <c:pt idx="17">
                        <c:v>4.0973884877230353E-2</c:v>
                      </c:pt>
                      <c:pt idx="18">
                        <c:v>3.9352899572148992E-2</c:v>
                      </c:pt>
                      <c:pt idx="19">
                        <c:v>3.7690003173480341E-2</c:v>
                      </c:pt>
                      <c:pt idx="20">
                        <c:v>3.6003790132385284E-2</c:v>
                      </c:pt>
                      <c:pt idx="21">
                        <c:v>3.430663105604756E-2</c:v>
                      </c:pt>
                      <c:pt idx="22">
                        <c:v>3.2606478009513815E-2</c:v>
                      </c:pt>
                      <c:pt idx="23">
                        <c:v>3.0908121873852133E-2</c:v>
                      </c:pt>
                      <c:pt idx="24">
                        <c:v>2.9214073312473325E-2</c:v>
                      </c:pt>
                      <c:pt idx="25">
                        <c:v>2.7525182775031562E-2</c:v>
                      </c:pt>
                      <c:pt idx="26">
                        <c:v>2.5841077841107674E-2</c:v>
                      </c:pt>
                      <c:pt idx="27">
                        <c:v>2.4160471446234608E-2</c:v>
                      </c:pt>
                      <c:pt idx="28">
                        <c:v>2.2481377874566243E-2</c:v>
                      </c:pt>
                      <c:pt idx="29">
                        <c:v>2.0801262089172191E-2</c:v>
                      </c:pt>
                      <c:pt idx="30">
                        <c:v>1.9117140210812247E-2</c:v>
                      </c:pt>
                      <c:pt idx="31">
                        <c:v>1.7425643575642455E-2</c:v>
                      </c:pt>
                      <c:pt idx="32">
                        <c:v>1.5723055026457992E-2</c:v>
                      </c:pt>
                      <c:pt idx="33">
                        <c:v>1.400532340375941E-2</c:v>
                      </c:pt>
                      <c:pt idx="34">
                        <c:v>1.2268060253481122E-2</c:v>
                      </c:pt>
                      <c:pt idx="35">
                        <c:v>1.0506521319424396E-2</c:v>
                      </c:pt>
                      <c:pt idx="36">
                        <c:v>8.7155742747658162E-3</c:v>
                      </c:pt>
                      <c:pt idx="37">
                        <c:v>6.8896532507736231E-3</c:v>
                      </c:pt>
                      <c:pt idx="38">
                        <c:v>5.0226999555483031E-3</c:v>
                      </c:pt>
                      <c:pt idx="39">
                        <c:v>3.1080904745079217E-3</c:v>
                      </c:pt>
                      <c:pt idx="40">
                        <c:v>1.1385461525240193E-3</c:v>
                      </c:pt>
                      <c:pt idx="41">
                        <c:v>-8.9397377403964244E-4</c:v>
                      </c:pt>
                      <c:pt idx="42">
                        <c:v>-2.9984009466299845E-3</c:v>
                      </c:pt>
                      <c:pt idx="43">
                        <c:v>-5.1847121646222804E-3</c:v>
                      </c:pt>
                      <c:pt idx="44">
                        <c:v>-7.4641144401384717E-3</c:v>
                      </c:pt>
                      <c:pt idx="45">
                        <c:v>-9.8492675095727469E-3</c:v>
                      </c:pt>
                      <c:pt idx="46">
                        <c:v>-1.2354552246553248E-2</c:v>
                      </c:pt>
                      <c:pt idx="47">
                        <c:v>-1.4996395625249528E-2</c:v>
                      </c:pt>
                      <c:pt idx="48">
                        <c:v>-1.7793665642090509E-2</c:v>
                      </c:pt>
                      <c:pt idx="49">
                        <c:v>-2.0768153044327581E-2</c:v>
                      </c:pt>
                      <c:pt idx="50">
                        <c:v>-2.3945160960268955E-2</c:v>
                      </c:pt>
                      <c:pt idx="51">
                        <c:v>-2.7354228666028515E-2</c:v>
                      </c:pt>
                      <c:pt idx="52">
                        <c:v>-3.1030021727549921E-2</c:v>
                      </c:pt>
                      <c:pt idx="53">
                        <c:v>-3.5013427307646366E-2</c:v>
                      </c:pt>
                      <c:pt idx="54">
                        <c:v>-3.9352899572148978E-2</c:v>
                      </c:pt>
                      <c:pt idx="55">
                        <c:v>-4.410610356659881E-2</c:v>
                      </c:pt>
                      <c:pt idx="56">
                        <c:v>-4.9341901587356345E-2</c:v>
                      </c:pt>
                      <c:pt idx="57">
                        <c:v>-5.5142703207213643E-2</c:v>
                      </c:pt>
                      <c:pt idx="58">
                        <c:v>-6.1607136577305877E-2</c:v>
                      </c:pt>
                      <c:pt idx="59">
                        <c:v>-6.8852849264824628E-2</c:v>
                      </c:pt>
                      <c:pt idx="60">
                        <c:v>-7.7018920551066045E-2</c:v>
                      </c:pt>
                      <c:pt idx="61">
                        <c:v>-8.6266681648795848E-2</c:v>
                      </c:pt>
                      <c:pt idx="62">
                        <c:v>-9.6776337791476263E-2</c:v>
                      </c:pt>
                      <c:pt idx="63">
                        <c:v>-0.10873398678200535</c:v>
                      </c:pt>
                      <c:pt idx="64">
                        <c:v>-0.12229823178676173</c:v>
                      </c:pt>
                      <c:pt idx="65">
                        <c:v>-0.13752581905946851</c:v>
                      </c:pt>
                      <c:pt idx="66">
                        <c:v>-0.15422031902005348</c:v>
                      </c:pt>
                      <c:pt idx="67">
                        <c:v>-0.17165162148006369</c:v>
                      </c:pt>
                      <c:pt idx="68">
                        <c:v>-0.1881063114248035</c:v>
                      </c:pt>
                      <c:pt idx="69">
                        <c:v>-0.2003617244371515</c:v>
                      </c:pt>
                      <c:pt idx="70">
                        <c:v>-0.20358016840168169</c:v>
                      </c:pt>
                      <c:pt idx="71">
                        <c:v>-0.19266571962358076</c:v>
                      </c:pt>
                      <c:pt idx="72">
                        <c:v>-0.16559591122055059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0D6-4034-BE1C-478998149BD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Planet3 Y/Z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Sheet1!$T$9:$T$81</c15:sqref>
                        </c15:formulaRef>
                      </c:ext>
                    </c:extLst>
                    <c:numCache>
                      <c:formatCode>0.0000</c:formatCode>
                      <c:ptCount val="73"/>
                      <c:pt idx="0">
                        <c:v>1.2000000000000002</c:v>
                      </c:pt>
                      <c:pt idx="1">
                        <c:v>1.1909018964509861</c:v>
                      </c:pt>
                      <c:pt idx="2">
                        <c:v>1.1640842482013765</c:v>
                      </c:pt>
                      <c:pt idx="3">
                        <c:v>1.1209166818152287</c:v>
                      </c:pt>
                      <c:pt idx="4">
                        <c:v>1.0634945743553152</c:v>
                      </c:pt>
                      <c:pt idx="5">
                        <c:v>0.99440165299999705</c:v>
                      </c:pt>
                      <c:pt idx="6">
                        <c:v>0.91644952894850895</c:v>
                      </c:pt>
                      <c:pt idx="7">
                        <c:v>0.83243778201311303</c:v>
                      </c:pt>
                      <c:pt idx="8">
                        <c:v>0.74496470040323193</c:v>
                      </c:pt>
                      <c:pt idx="9">
                        <c:v>0.65630179281363266</c:v>
                      </c:pt>
                      <c:pt idx="10">
                        <c:v>0.56833045227777357</c:v>
                      </c:pt>
                      <c:pt idx="11">
                        <c:v>0.48252969255536332</c:v>
                      </c:pt>
                      <c:pt idx="12">
                        <c:v>0.40000000000000019</c:v>
                      </c:pt>
                      <c:pt idx="13">
                        <c:v>0.32150867592044613</c:v>
                      </c:pt>
                      <c:pt idx="14">
                        <c:v>0.24754472760245377</c:v>
                      </c:pt>
                      <c:pt idx="15">
                        <c:v>0.17837482844585331</c:v>
                      </c:pt>
                      <c:pt idx="16">
                        <c:v>0.11409511062010204</c:v>
                      </c:pt>
                      <c:pt idx="17">
                        <c:v>5.4676114325910179E-2</c:v>
                      </c:pt>
                      <c:pt idx="18">
                        <c:v>3.6754453647258606E-17</c:v>
                      </c:pt>
                      <c:pt idx="19">
                        <c:v>-5.0109768598056499E-2</c:v>
                      </c:pt>
                      <c:pt idx="20">
                        <c:v>-9.5865474155977376E-2</c:v>
                      </c:pt>
                      <c:pt idx="21">
                        <c:v>-0.13749789067717405</c:v>
                      </c:pt>
                      <c:pt idx="22">
                        <c:v>-0.17524365585003046</c:v>
                      </c:pt>
                      <c:pt idx="23">
                        <c:v>-0.20933628797318143</c:v>
                      </c:pt>
                      <c:pt idx="24">
                        <c:v>-0.23999999999999994</c:v>
                      </c:pt>
                      <c:pt idx="25">
                        <c:v>-0.26744561144535201</c:v>
                      </c:pt>
                      <c:pt idx="26">
                        <c:v>-0.29186799907667815</c:v>
                      </c:pt>
                      <c:pt idx="27">
                        <c:v>-0.31344464995648974</c:v>
                      </c:pt>
                      <c:pt idx="28">
                        <c:v>-0.33233498255227895</c:v>
                      </c:pt>
                      <c:pt idx="29">
                        <c:v>-0.34868018386525329</c:v>
                      </c:pt>
                      <c:pt idx="30">
                        <c:v>-0.36260337510235474</c:v>
                      </c:pt>
                      <c:pt idx="31">
                        <c:v>-0.37420996815787883</c:v>
                      </c:pt>
                      <c:pt idx="32">
                        <c:v>-0.38358811291012629</c:v>
                      </c:pt>
                      <c:pt idx="33">
                        <c:v>-0.39080916362535884</c:v>
                      </c:pt>
                      <c:pt idx="34">
                        <c:v>-0.39592811376948212</c:v>
                      </c:pt>
                      <c:pt idx="35">
                        <c:v>-0.3989839640499524</c:v>
                      </c:pt>
                      <c:pt idx="36">
                        <c:v>-0.40000000000000008</c:v>
                      </c:pt>
                      <c:pt idx="37">
                        <c:v>-0.3989839640499524</c:v>
                      </c:pt>
                      <c:pt idx="38">
                        <c:v>-0.39592811376948212</c:v>
                      </c:pt>
                      <c:pt idx="39">
                        <c:v>-0.39080916362535889</c:v>
                      </c:pt>
                      <c:pt idx="40">
                        <c:v>-0.38358811291012634</c:v>
                      </c:pt>
                      <c:pt idx="41">
                        <c:v>-0.37420996815787888</c:v>
                      </c:pt>
                      <c:pt idx="42">
                        <c:v>-0.3626033751023548</c:v>
                      </c:pt>
                      <c:pt idx="43">
                        <c:v>-0.34868018386525323</c:v>
                      </c:pt>
                      <c:pt idx="44">
                        <c:v>-0.332334982552279</c:v>
                      </c:pt>
                      <c:pt idx="45">
                        <c:v>-0.3134446499564898</c:v>
                      </c:pt>
                      <c:pt idx="46">
                        <c:v>-0.29186799907667815</c:v>
                      </c:pt>
                      <c:pt idx="47">
                        <c:v>-0.26744561144535206</c:v>
                      </c:pt>
                      <c:pt idx="48">
                        <c:v>-0.24000000000000021</c:v>
                      </c:pt>
                      <c:pt idx="49">
                        <c:v>-0.20933628797318135</c:v>
                      </c:pt>
                      <c:pt idx="50">
                        <c:v>-0.17524365585003041</c:v>
                      </c:pt>
                      <c:pt idx="51">
                        <c:v>-0.13749789067717394</c:v>
                      </c:pt>
                      <c:pt idx="52">
                        <c:v>-9.5865474155977362E-2</c:v>
                      </c:pt>
                      <c:pt idx="53">
                        <c:v>-5.0109768598056513E-2</c:v>
                      </c:pt>
                      <c:pt idx="54">
                        <c:v>-1.1026336094177581E-16</c:v>
                      </c:pt>
                      <c:pt idx="55">
                        <c:v>5.4676114325910012E-2</c:v>
                      </c:pt>
                      <c:pt idx="56">
                        <c:v>0.11409511062010173</c:v>
                      </c:pt>
                      <c:pt idx="57">
                        <c:v>0.17837482844585298</c:v>
                      </c:pt>
                      <c:pt idx="58">
                        <c:v>0.24754472760245388</c:v>
                      </c:pt>
                      <c:pt idx="59">
                        <c:v>0.3215086759204463</c:v>
                      </c:pt>
                      <c:pt idx="60">
                        <c:v>0.40000000000000019</c:v>
                      </c:pt>
                      <c:pt idx="61">
                        <c:v>0.48252969255536327</c:v>
                      </c:pt>
                      <c:pt idx="62">
                        <c:v>0.56833045227777346</c:v>
                      </c:pt>
                      <c:pt idx="63">
                        <c:v>0.65630179281363243</c:v>
                      </c:pt>
                      <c:pt idx="64">
                        <c:v>0.74496470040323171</c:v>
                      </c:pt>
                      <c:pt idx="65">
                        <c:v>0.83243778201311258</c:v>
                      </c:pt>
                      <c:pt idx="66">
                        <c:v>0.91644952894850817</c:v>
                      </c:pt>
                      <c:pt idx="67">
                        <c:v>0.99440165299999717</c:v>
                      </c:pt>
                      <c:pt idx="68">
                        <c:v>1.0634945743553152</c:v>
                      </c:pt>
                      <c:pt idx="69">
                        <c:v>1.1209166818152287</c:v>
                      </c:pt>
                      <c:pt idx="70">
                        <c:v>1.1640842482013765</c:v>
                      </c:pt>
                      <c:pt idx="71">
                        <c:v>1.1909018964509861</c:v>
                      </c:pt>
                      <c:pt idx="72">
                        <c:v>1.2000000000000002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Sheet1!$V$9:$V$81</c15:sqref>
                        </c15:formulaRef>
                      </c:ext>
                    </c:extLst>
                    <c:numCache>
                      <c:formatCode>0.0000</c:formatCode>
                      <c:ptCount val="7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0D6-4034-BE1C-478998149BD9}"/>
                  </c:ext>
                </c:extLst>
              </c15:ser>
            </c15:filteredScatterSeries>
          </c:ext>
        </c:extLst>
      </c:scatterChart>
      <c:valAx>
        <c:axId val="441273144"/>
        <c:scaling>
          <c:orientation val="minMax"/>
          <c:max val="3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183216"/>
        <c:crosses val="autoZero"/>
        <c:crossBetween val="midCat"/>
      </c:valAx>
      <c:valAx>
        <c:axId val="443183216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73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333375</xdr:colOff>
      <xdr:row>9</xdr:row>
      <xdr:rowOff>0</xdr:rowOff>
    </xdr:from>
    <xdr:to>
      <xdr:col>35</xdr:col>
      <xdr:colOff>28575</xdr:colOff>
      <xdr:row>33</xdr:row>
      <xdr:rowOff>152397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"/>
  <sheetViews>
    <sheetView tabSelected="1" topLeftCell="H8" zoomScaleNormal="100" workbookViewId="0">
      <selection activeCell="U21" sqref="U21"/>
    </sheetView>
  </sheetViews>
  <sheetFormatPr defaultRowHeight="14.4" x14ac:dyDescent="0.3"/>
  <cols>
    <col min="6" max="6" width="12" bestFit="1" customWidth="1"/>
    <col min="7" max="7" width="12" customWidth="1"/>
    <col min="9" max="9" width="10.33203125" bestFit="1" customWidth="1"/>
    <col min="12" max="12" width="14.6640625" bestFit="1" customWidth="1"/>
    <col min="21" max="22" width="12" bestFit="1" customWidth="1"/>
    <col min="23" max="23" width="10.44140625" customWidth="1"/>
    <col min="29" max="29" width="12" bestFit="1" customWidth="1"/>
  </cols>
  <sheetData>
    <row r="1" spans="1:35" x14ac:dyDescent="0.3">
      <c r="A1" t="s">
        <v>0</v>
      </c>
      <c r="J1" s="3"/>
      <c r="K1" t="s">
        <v>0</v>
      </c>
      <c r="R1" s="3"/>
      <c r="S1" t="s">
        <v>0</v>
      </c>
      <c r="AF1" t="s">
        <v>18</v>
      </c>
      <c r="AG1" s="1">
        <v>6.67E-11</v>
      </c>
      <c r="AH1" t="s">
        <v>20</v>
      </c>
    </row>
    <row r="2" spans="1:35" x14ac:dyDescent="0.3">
      <c r="A2" t="s">
        <v>3</v>
      </c>
      <c r="B2" t="s">
        <v>41</v>
      </c>
      <c r="C2" t="s">
        <v>42</v>
      </c>
      <c r="J2" s="3"/>
      <c r="K2" t="s">
        <v>3</v>
      </c>
      <c r="L2" t="s">
        <v>43</v>
      </c>
      <c r="M2" t="s">
        <v>44</v>
      </c>
      <c r="R2" s="3"/>
      <c r="S2" t="s">
        <v>3</v>
      </c>
      <c r="T2" t="s">
        <v>45</v>
      </c>
      <c r="U2" t="s">
        <v>46</v>
      </c>
      <c r="AB2" t="s">
        <v>49</v>
      </c>
      <c r="AC2">
        <f>COS(0)</f>
        <v>1</v>
      </c>
      <c r="AF2" t="s">
        <v>19</v>
      </c>
      <c r="AG2" s="1">
        <v>2E+30</v>
      </c>
      <c r="AH2" t="s">
        <v>21</v>
      </c>
    </row>
    <row r="3" spans="1:35" x14ac:dyDescent="0.3">
      <c r="A3" t="s">
        <v>29</v>
      </c>
      <c r="B3" s="7">
        <v>0.5</v>
      </c>
      <c r="C3" t="s">
        <v>7</v>
      </c>
      <c r="D3" t="s">
        <v>11</v>
      </c>
      <c r="E3">
        <f>B$3*(1-B$6^2)</f>
        <v>9.4999999999999973E-2</v>
      </c>
      <c r="J3" s="3"/>
      <c r="K3" t="s">
        <v>4</v>
      </c>
      <c r="L3" s="7">
        <v>1</v>
      </c>
      <c r="M3" t="s">
        <v>7</v>
      </c>
      <c r="N3" t="s">
        <v>11</v>
      </c>
      <c r="O3">
        <f>L$3*(1-L$6^2)</f>
        <v>0.18999999999999995</v>
      </c>
      <c r="R3" s="3"/>
      <c r="S3" t="s">
        <v>4</v>
      </c>
      <c r="T3" s="7">
        <v>0.8</v>
      </c>
      <c r="U3" t="s">
        <v>7</v>
      </c>
      <c r="V3" t="s">
        <v>11</v>
      </c>
      <c r="W3">
        <f>T$3*(1-T$6^2)</f>
        <v>0.60000000000000009</v>
      </c>
      <c r="AB3" t="s">
        <v>50</v>
      </c>
      <c r="AC3">
        <f>SIN(0)</f>
        <v>0</v>
      </c>
    </row>
    <row r="4" spans="1:35" x14ac:dyDescent="0.3">
      <c r="A4" t="s">
        <v>30</v>
      </c>
      <c r="B4">
        <f>SQRT((1-B6^2)*B3^2)</f>
        <v>0.21794494717703364</v>
      </c>
      <c r="C4" t="s">
        <v>7</v>
      </c>
      <c r="D4" t="s">
        <v>16</v>
      </c>
      <c r="E4">
        <f>-0.0000000000667*2E+30/(2*B$3*150000000000)</f>
        <v>-889333333.33333337</v>
      </c>
      <c r="F4" t="s">
        <v>17</v>
      </c>
      <c r="J4" s="3"/>
      <c r="K4" t="s">
        <v>5</v>
      </c>
      <c r="L4">
        <f>SQRT((1-L6^2)*L3^2)</f>
        <v>0.43588989435406728</v>
      </c>
      <c r="M4" t="s">
        <v>7</v>
      </c>
      <c r="N4" t="s">
        <v>16</v>
      </c>
      <c r="O4" s="1">
        <f>-0.0000000000667*2E+30/(2*L$3*150000000000)</f>
        <v>-444666666.66666669</v>
      </c>
      <c r="P4" t="s">
        <v>17</v>
      </c>
      <c r="R4" s="3"/>
      <c r="S4" t="s">
        <v>5</v>
      </c>
      <c r="T4">
        <f>SQRT((1-T6^2)*T3^2)</f>
        <v>0.69282032302755103</v>
      </c>
      <c r="U4" t="s">
        <v>7</v>
      </c>
      <c r="V4" t="s">
        <v>16</v>
      </c>
      <c r="W4" s="1">
        <f>-0.0000000000667*2E+30/(2*T$3*150000000000)</f>
        <v>-555833333.33333337</v>
      </c>
      <c r="X4" t="s">
        <v>17</v>
      </c>
      <c r="AF4" t="s">
        <v>22</v>
      </c>
      <c r="AG4" s="1">
        <v>7.3476730900000002E+22</v>
      </c>
      <c r="AH4" t="s">
        <v>21</v>
      </c>
    </row>
    <row r="5" spans="1:35" x14ac:dyDescent="0.3">
      <c r="A5" t="s">
        <v>31</v>
      </c>
      <c r="B5">
        <f>SQRT(B3^2-B4^2)</f>
        <v>0.45</v>
      </c>
      <c r="C5" t="s">
        <v>7</v>
      </c>
      <c r="D5" t="s">
        <v>40</v>
      </c>
      <c r="E5" s="7">
        <v>175</v>
      </c>
      <c r="F5" t="s">
        <v>33</v>
      </c>
      <c r="G5">
        <f>RADIANS(E5)</f>
        <v>3.0543261909900767</v>
      </c>
      <c r="H5" t="s">
        <v>39</v>
      </c>
      <c r="J5" s="3"/>
      <c r="K5" t="s">
        <v>9</v>
      </c>
      <c r="L5">
        <f>SQRT(L3^2-L4^2)</f>
        <v>0.9</v>
      </c>
      <c r="M5" t="s">
        <v>7</v>
      </c>
      <c r="N5" t="s">
        <v>37</v>
      </c>
      <c r="O5" s="7">
        <v>180</v>
      </c>
      <c r="P5" t="s">
        <v>34</v>
      </c>
      <c r="Q5">
        <f>RADIANS(O5)</f>
        <v>3.1415926535897931</v>
      </c>
      <c r="R5" s="3" t="s">
        <v>39</v>
      </c>
      <c r="S5" t="s">
        <v>9</v>
      </c>
      <c r="T5">
        <f>SQRT(T3^2-T4^2)</f>
        <v>0.39999999999999997</v>
      </c>
      <c r="U5" t="s">
        <v>7</v>
      </c>
      <c r="V5" t="s">
        <v>47</v>
      </c>
      <c r="W5" s="7">
        <v>0</v>
      </c>
      <c r="X5" t="s">
        <v>34</v>
      </c>
      <c r="Y5">
        <f>RADIANS(W5)</f>
        <v>0</v>
      </c>
      <c r="Z5" t="s">
        <v>39</v>
      </c>
      <c r="AF5" t="s">
        <v>8</v>
      </c>
      <c r="AG5" s="1">
        <f>2*G*AG4/(300000000)^2</f>
        <v>1.0890884335622223E-4</v>
      </c>
      <c r="AH5" t="s">
        <v>23</v>
      </c>
    </row>
    <row r="6" spans="1:35" x14ac:dyDescent="0.3">
      <c r="A6" t="s">
        <v>6</v>
      </c>
      <c r="B6" s="7">
        <v>0.9</v>
      </c>
      <c r="D6" t="s">
        <v>38</v>
      </c>
      <c r="E6" s="7">
        <v>176</v>
      </c>
      <c r="F6" t="s">
        <v>33</v>
      </c>
      <c r="G6">
        <f>RADIANS(E6)</f>
        <v>3.0717794835100198</v>
      </c>
      <c r="H6" t="s">
        <v>39</v>
      </c>
      <c r="J6" s="3"/>
      <c r="K6" t="s">
        <v>6</v>
      </c>
      <c r="L6" s="7">
        <v>0.9</v>
      </c>
      <c r="N6" t="s">
        <v>38</v>
      </c>
      <c r="O6" s="7">
        <v>5</v>
      </c>
      <c r="P6" t="s">
        <v>34</v>
      </c>
      <c r="Q6">
        <f>RADIANS(O6)</f>
        <v>8.7266462599716474E-2</v>
      </c>
      <c r="R6" s="3" t="s">
        <v>39</v>
      </c>
      <c r="S6" t="s">
        <v>6</v>
      </c>
      <c r="T6" s="7">
        <v>0.5</v>
      </c>
      <c r="V6" t="s">
        <v>48</v>
      </c>
      <c r="W6" s="7">
        <v>0</v>
      </c>
      <c r="X6" t="s">
        <v>34</v>
      </c>
      <c r="Y6">
        <f t="shared" ref="Y6" si="0">RADIANS(W6)</f>
        <v>0</v>
      </c>
      <c r="Z6" t="s">
        <v>39</v>
      </c>
      <c r="AF6" t="s">
        <v>24</v>
      </c>
      <c r="AG6" s="1">
        <v>15000</v>
      </c>
      <c r="AH6" t="s">
        <v>23</v>
      </c>
    </row>
    <row r="7" spans="1:35" x14ac:dyDescent="0.3">
      <c r="D7" t="s">
        <v>36</v>
      </c>
      <c r="E7" s="7">
        <v>4</v>
      </c>
      <c r="F7" t="s">
        <v>33</v>
      </c>
      <c r="G7">
        <f>RADIANS(E7)</f>
        <v>6.9813170079773182E-2</v>
      </c>
      <c r="H7" t="s">
        <v>39</v>
      </c>
      <c r="J7" s="3"/>
      <c r="N7" t="s">
        <v>36</v>
      </c>
      <c r="O7" s="7">
        <v>12</v>
      </c>
      <c r="P7" t="s">
        <v>34</v>
      </c>
      <c r="Q7">
        <f>RADIANS(O7)</f>
        <v>0.20943951023931956</v>
      </c>
      <c r="R7" s="3" t="s">
        <v>39</v>
      </c>
      <c r="V7" t="s">
        <v>36</v>
      </c>
      <c r="W7" s="7">
        <v>0</v>
      </c>
      <c r="X7" t="s">
        <v>34</v>
      </c>
      <c r="Y7">
        <f>RADIANS(W7)</f>
        <v>0</v>
      </c>
      <c r="Z7" t="s">
        <v>39</v>
      </c>
      <c r="AF7" t="s">
        <v>25</v>
      </c>
      <c r="AG7" s="1">
        <f>G*MBH/AG6^2</f>
        <v>21781.768671244445</v>
      </c>
      <c r="AH7" t="s">
        <v>26</v>
      </c>
    </row>
    <row r="8" spans="1:35" x14ac:dyDescent="0.3">
      <c r="A8" t="s">
        <v>10</v>
      </c>
      <c r="B8" t="s">
        <v>1</v>
      </c>
      <c r="C8" t="s">
        <v>2</v>
      </c>
      <c r="D8" t="s">
        <v>32</v>
      </c>
      <c r="E8" t="s">
        <v>35</v>
      </c>
      <c r="F8" t="s">
        <v>15</v>
      </c>
      <c r="G8" t="s">
        <v>8</v>
      </c>
      <c r="H8" t="s">
        <v>12</v>
      </c>
      <c r="I8" t="s">
        <v>13</v>
      </c>
      <c r="J8" s="3" t="s">
        <v>14</v>
      </c>
      <c r="K8" t="s">
        <v>10</v>
      </c>
      <c r="L8" t="s">
        <v>1</v>
      </c>
      <c r="M8" t="s">
        <v>2</v>
      </c>
      <c r="N8" t="s">
        <v>32</v>
      </c>
      <c r="O8" t="s">
        <v>8</v>
      </c>
      <c r="P8" t="s">
        <v>12</v>
      </c>
      <c r="Q8" t="s">
        <v>13</v>
      </c>
      <c r="R8" s="3" t="s">
        <v>14</v>
      </c>
      <c r="S8" t="s">
        <v>10</v>
      </c>
      <c r="T8" t="s">
        <v>1</v>
      </c>
      <c r="U8" t="s">
        <v>2</v>
      </c>
      <c r="V8" t="s">
        <v>32</v>
      </c>
      <c r="W8" t="s">
        <v>8</v>
      </c>
      <c r="X8" t="s">
        <v>12</v>
      </c>
      <c r="Y8" t="s">
        <v>13</v>
      </c>
      <c r="Z8" t="s">
        <v>14</v>
      </c>
      <c r="AA8" t="s">
        <v>15</v>
      </c>
      <c r="AG8" t="s">
        <v>27</v>
      </c>
      <c r="AH8">
        <f>SQRT(2*G*MBH/AG6)</f>
        <v>25562.727947880157</v>
      </c>
      <c r="AI8" t="s">
        <v>28</v>
      </c>
    </row>
    <row r="9" spans="1:35" x14ac:dyDescent="0.3">
      <c r="A9">
        <v>0</v>
      </c>
      <c r="B9" s="4">
        <f>G9*COS(RADIANS(A9))*(COS($G$5)*COS($G$6))+G9*SIN(RADIANS(A9))*(COS($G$5)*SIN($G$6)*SIN($G$7)-SIN($G$5)*COS($G$7))</f>
        <v>0.94407961698197618</v>
      </c>
      <c r="C9" s="4">
        <f>G9*COS(RADIANS(A9))*(SIN(G$5)*COS(G$6))+G9*SIN(RADIANS(A9))*(SIN(G$5)*SIN(G$6)*SIN(G$7)+COS(G$5)*COS(G$7))</f>
        <v>-8.2596263951819349E-2</v>
      </c>
      <c r="D9" s="4">
        <f>G9*COS(RADIANS(A9))*(-SIN(G$6))+G9*SIN(RADIANS(A9))*(COS(G$6)*SIN(G$7))</f>
        <v>-6.6268650056919245E-2</v>
      </c>
      <c r="E9" s="4">
        <f>DEGREES(ASIN(D9/G9))</f>
        <v>-4.0000000000000124</v>
      </c>
      <c r="F9" s="5">
        <f t="shared" ref="F9:F33" si="1">SQRT(B9^2+C9^2+D9^2)</f>
        <v>0.95</v>
      </c>
      <c r="G9" s="5">
        <f>E$3/(1-B$6*COS(RADIANS(A9)))</f>
        <v>0.95</v>
      </c>
      <c r="H9" s="2">
        <f>SQRT(0.0000000000667*2E+30/(G9*150000000000))</f>
        <v>30596.410751543928</v>
      </c>
      <c r="I9" s="1">
        <f t="shared" ref="I9:I33" si="2">E$4-J9</f>
        <v>-1357403508.7719297</v>
      </c>
      <c r="J9" s="6">
        <f>0.0000000000667*2E+30/(2*G9*150000000000)</f>
        <v>468070175.43859649</v>
      </c>
      <c r="K9">
        <v>0</v>
      </c>
      <c r="L9" s="4">
        <f>O9*COS(RADIANS(K9))*(COS($Q$5)*COS($Q$6))+O9*SIN(RADIANS(K9))*(COS($Q$5)*SIN($Q$6)*SIN($Q$7)-SIN($Q$5)*COS($Q$7))</f>
        <v>-1.8927699263743165</v>
      </c>
      <c r="M9" s="4">
        <f>O9*COS(RADIANS(K9))*(SIN(Q$5)*COS(Q$6))+O9*SIN(RADIANS(K9))*(SIN(Q$5)*SIN(Q$6)*SIN(Q$7)+COS(Q$5)*COS(Q$7))</f>
        <v>2.3189241507949964E-16</v>
      </c>
      <c r="N9" s="4">
        <f>O9*COS(RADIANS(K9))*(-SIN(Q$6))+O9*SIN(RADIANS(K9))*(COS(Q$6)*SIN(Q$7))</f>
        <v>-0.16559591122055051</v>
      </c>
      <c r="O9" s="5">
        <f>O$3/(1-L$6*COS(RADIANS(K9)))</f>
        <v>1.9</v>
      </c>
      <c r="P9" s="2">
        <f>SQRT(0.0000000000667*2E+30/(O9*150000000000))</f>
        <v>21634.929522385704</v>
      </c>
      <c r="Q9" s="1">
        <f>O$4-R9</f>
        <v>-678701754.38596487</v>
      </c>
      <c r="R9" s="6">
        <f>0.0000000000667*2E+30/(2*O9*150000000000)</f>
        <v>234035087.71929824</v>
      </c>
      <c r="S9">
        <v>0</v>
      </c>
      <c r="T9" s="4">
        <f>W9*COS(RADIANS(S9))*(COS($Y$5)*COS($Y$6))+W9*SIN(RADIANS(S9))*(COS($Y$5)*SIN($Y$6)*SIN($Y$7)-SIN($Y$5)*COS($Y$7))</f>
        <v>1.2000000000000002</v>
      </c>
      <c r="U9" s="4">
        <f>W9*COS(RADIANS(S9))*(SIN(Y$5)*COS(Y$6))+W9*SIN(RADIANS(S9))*(SIN(Y$5)*SIN(Y$6)*SIN(Y$7)+COS(Y$5)*COS(Y$7))</f>
        <v>0</v>
      </c>
      <c r="V9" s="4">
        <f>W9*COS(RADIANS(S9))*(-SIN(Y$6))+W9*SIN(RADIANS(S9))*(COS(Y$6)*SIN(Y$7))</f>
        <v>0</v>
      </c>
      <c r="W9" s="5">
        <f>W$3/(1-T$6*COS(RADIANS(S9)))</f>
        <v>1.2000000000000002</v>
      </c>
      <c r="X9" s="2">
        <f>SQRT(0.0000000000667*2E+30/(W9*150000000000))</f>
        <v>27223.355985460556</v>
      </c>
      <c r="Y9" s="1">
        <f>W$4-Z9</f>
        <v>-926388888.88888884</v>
      </c>
      <c r="Z9" s="1">
        <f>X9^2/2</f>
        <v>370555555.55555552</v>
      </c>
      <c r="AA9" s="1">
        <f>SUM(Y9:Z9)</f>
        <v>-555833333.33333325</v>
      </c>
    </row>
    <row r="10" spans="1:35" x14ac:dyDescent="0.3">
      <c r="A10">
        <v>5</v>
      </c>
      <c r="B10" s="4">
        <f t="shared" ref="B10:B73" si="3">G10*COS(RADIANS(A10))*(COS($G$5)*COS($G$6))+G10*SIN(RADIANS(A10))*(COS($G$5)*SIN($G$6)*SIN($G$7)-SIN($G$5)*COS($G$7))</f>
        <v>0.90199571718597249</v>
      </c>
      <c r="C10" s="4">
        <f t="shared" ref="C10:C73" si="4">G10*COS(RADIANS(A10))*(SIN(G$5)*COS(G$6))+G10*SIN(RADIANS(A10))*(SIN(G$5)*SIN(G$6)*SIN(G$7)+COS(G$5)*COS(G$7))</f>
        <v>-0.15908065676900746</v>
      </c>
      <c r="D10" s="4">
        <f t="shared" ref="D10:D73" si="5">G10*COS(RADIANS(A10))*(-SIN(G$6))+G10*SIN(RADIANS(A10))*(COS(G$6)*SIN(G$7))</f>
        <v>-6.940126699068376E-2</v>
      </c>
      <c r="E10" s="4">
        <f t="shared" ref="E10:E33" si="6">DEGREES(ASIN(D10/G10))</f>
        <v>-4.333163475423822</v>
      </c>
      <c r="F10" s="5">
        <f t="shared" si="1"/>
        <v>0.91854203226624731</v>
      </c>
      <c r="G10" s="5">
        <f t="shared" ref="G10:G33" si="7">E$3/(1-B$6*COS(RADIANS(A10)))</f>
        <v>0.91854203226624742</v>
      </c>
      <c r="H10" s="2">
        <f t="shared" ref="H10:H33" si="8">SQRT(0.0000000000667*2E+30/(G10*150000000000))</f>
        <v>31115.928731912798</v>
      </c>
      <c r="I10" s="1">
        <f t="shared" si="2"/>
        <v>-1373433843.7580714</v>
      </c>
      <c r="J10" s="6">
        <f t="shared" ref="J10:J33" si="9">0.0000000000667*2E+30/(2*G10*150000000000)</f>
        <v>484100510.42473817</v>
      </c>
      <c r="K10">
        <v>5</v>
      </c>
      <c r="L10" s="4">
        <f t="shared" ref="L10:L73" si="10">O10*COS(RADIANS(K10))*(COS($Q$5)*COS($Q$6))+O10*SIN(RADIANS(K10))*(COS($Q$5)*SIN($Q$6)*SIN($Q$7)-SIN($Q$5)*COS($Q$7))</f>
        <v>-1.8260306960039081</v>
      </c>
      <c r="M10" s="4">
        <f t="shared" ref="M10:M73" si="11">O10*COS(RADIANS(K10))*(SIN(Q$5)*COS(Q$6))+O10*SIN(RADIANS(K10))*(SIN(Q$5)*SIN(Q$6)*SIN(Q$7)+COS(Q$5)*COS(Q$7))</f>
        <v>-0.15661358547085219</v>
      </c>
      <c r="N10" s="4">
        <f t="shared" ref="N10:N73" si="12">O10*COS(RADIANS(K10))*(-SIN(Q$6))+O10*SIN(RADIANS(K10))*(COS(Q$6)*SIN(Q$7))</f>
        <v>-0.12634058040344448</v>
      </c>
      <c r="O10" s="5">
        <f t="shared" ref="O10:O73" si="13">O$3/(1-L$6*COS(RADIANS(K10)))</f>
        <v>1.8370840645324948</v>
      </c>
      <c r="P10" s="2">
        <f t="shared" ref="P10:P73" si="14">SQRT(0.0000000000667*2E+30/(O10*150000000000))</f>
        <v>22002.28420925287</v>
      </c>
      <c r="Q10" s="1">
        <f t="shared" ref="Q10:Q73" si="15">O$4-R10</f>
        <v>-686716921.87903571</v>
      </c>
      <c r="R10" s="6">
        <f t="shared" ref="R10:R73" si="16">0.0000000000667*2E+30/(2*O10*150000000000)</f>
        <v>242050255.21236908</v>
      </c>
      <c r="S10">
        <v>5</v>
      </c>
      <c r="T10" s="4">
        <f t="shared" ref="T10:T73" si="17">W10*COS(RADIANS(S10))*(COS($Y$5)*COS($Y$6))+W10*SIN(RADIANS(S10))*(COS($Y$5)*SIN($Y$6)*SIN($Y$7)-SIN($Y$5)*COS($Y$7))</f>
        <v>1.1909018964509861</v>
      </c>
      <c r="U10" s="4">
        <f t="shared" ref="U10:U73" si="18">W10*COS(RADIANS(S10))*(SIN(Y$5)*COS(Y$6))+W10*SIN(RADIANS(S10))*(SIN(Y$5)*SIN(Y$6)*SIN(Y$7)+COS(Y$5)*COS(Y$7))</f>
        <v>0.10419041531098511</v>
      </c>
      <c r="V10" s="4">
        <f t="shared" ref="V10:V73" si="19">W10*COS(RADIANS(S10))*(-SIN(Y$6))+W10*SIN(RADIANS(S10))*(COS(Y$6)*SIN(Y$7))</f>
        <v>0</v>
      </c>
      <c r="W10" s="5">
        <f t="shared" ref="W10:W12" si="20">W$3/(1-T$6*COS(RADIANS(S10)))</f>
        <v>1.1954509482254931</v>
      </c>
      <c r="X10" s="2">
        <f t="shared" ref="X10:X73" si="21">SQRT(0.0000000000667*2E+30/(W10*150000000000))</f>
        <v>27275.103347860128</v>
      </c>
      <c r="Y10" s="1">
        <f t="shared" ref="Y10:Y34" si="22">W$4-Z10</f>
        <v>-927798964.65155876</v>
      </c>
      <c r="Z10" s="1">
        <f t="shared" ref="Z10:Z34" si="23">X10^2/2</f>
        <v>371965631.31822538</v>
      </c>
      <c r="AA10" s="1">
        <f t="shared" ref="AA10:AA34" si="24">SUM(Y10:Z10)</f>
        <v>-555833333.33333337</v>
      </c>
    </row>
    <row r="11" spans="1:35" x14ac:dyDescent="0.3">
      <c r="A11">
        <v>10</v>
      </c>
      <c r="B11" s="4">
        <f t="shared" si="3"/>
        <v>0.8045836680971632</v>
      </c>
      <c r="C11" s="4">
        <f t="shared" si="4"/>
        <v>-0.21571449387955735</v>
      </c>
      <c r="D11" s="4">
        <f t="shared" si="5"/>
        <v>-6.7510547013986413E-2</v>
      </c>
      <c r="E11" s="4">
        <f t="shared" si="6"/>
        <v>-4.6334184481055081</v>
      </c>
      <c r="F11" s="5">
        <f t="shared" si="1"/>
        <v>0.83573039659720838</v>
      </c>
      <c r="G11" s="5">
        <f t="shared" si="7"/>
        <v>0.8357303965972086</v>
      </c>
      <c r="H11" s="2">
        <f t="shared" si="8"/>
        <v>32621.143905587895</v>
      </c>
      <c r="I11" s="1">
        <f t="shared" si="2"/>
        <v>-1421402848.1878705</v>
      </c>
      <c r="J11" s="6">
        <f t="shared" si="9"/>
        <v>532069514.85453713</v>
      </c>
      <c r="K11">
        <v>10</v>
      </c>
      <c r="L11" s="4">
        <f t="shared" si="10"/>
        <v>-1.645063226265937</v>
      </c>
      <c r="M11" s="4">
        <f t="shared" si="11"/>
        <v>-0.28390354666318507</v>
      </c>
      <c r="N11" s="4">
        <f t="shared" si="12"/>
        <v>-8.3348311114749968E-2</v>
      </c>
      <c r="O11" s="5">
        <f t="shared" si="13"/>
        <v>1.6714607931944172</v>
      </c>
      <c r="P11" s="2">
        <f t="shared" si="14"/>
        <v>23066.632065703419</v>
      </c>
      <c r="Q11" s="1">
        <f t="shared" si="15"/>
        <v>-710701424.09393525</v>
      </c>
      <c r="R11" s="6">
        <f t="shared" si="16"/>
        <v>266034757.42726856</v>
      </c>
      <c r="S11">
        <v>10</v>
      </c>
      <c r="T11" s="4">
        <f t="shared" si="17"/>
        <v>1.1640842482013765</v>
      </c>
      <c r="U11" s="4">
        <f t="shared" si="18"/>
        <v>0.20525946077563206</v>
      </c>
      <c r="V11" s="4">
        <f t="shared" si="19"/>
        <v>0</v>
      </c>
      <c r="W11" s="5">
        <f t="shared" si="20"/>
        <v>1.1820421241006884</v>
      </c>
      <c r="X11" s="2">
        <f t="shared" si="21"/>
        <v>27429.368460766789</v>
      </c>
      <c r="Y11" s="1">
        <f t="shared" si="22"/>
        <v>-932018460.41158724</v>
      </c>
      <c r="Z11" s="1">
        <f t="shared" si="23"/>
        <v>376185127.07825392</v>
      </c>
      <c r="AA11" s="1">
        <f t="shared" si="24"/>
        <v>-555833333.33333325</v>
      </c>
    </row>
    <row r="12" spans="1:35" x14ac:dyDescent="0.3">
      <c r="A12">
        <v>15</v>
      </c>
      <c r="B12" s="4">
        <f t="shared" si="3"/>
        <v>0.68061804035532403</v>
      </c>
      <c r="C12" s="4">
        <f t="shared" si="4"/>
        <v>-0.24797690126097763</v>
      </c>
      <c r="D12" s="4">
        <f t="shared" si="5"/>
        <v>-6.2081902968626555E-2</v>
      </c>
      <c r="E12" s="4">
        <f t="shared" si="6"/>
        <v>-4.8984462457654709</v>
      </c>
      <c r="F12" s="5">
        <f t="shared" si="1"/>
        <v>0.72704031737746433</v>
      </c>
      <c r="G12" s="5">
        <f t="shared" si="7"/>
        <v>0.72704031737746433</v>
      </c>
      <c r="H12" s="2">
        <f t="shared" si="8"/>
        <v>34974.62267530003</v>
      </c>
      <c r="I12" s="1">
        <f t="shared" si="2"/>
        <v>-1500945448.9731388</v>
      </c>
      <c r="J12" s="6">
        <f t="shared" si="9"/>
        <v>611612115.63980556</v>
      </c>
      <c r="K12">
        <v>15</v>
      </c>
      <c r="L12" s="4">
        <f t="shared" si="10"/>
        <v>-1.4060089741430142</v>
      </c>
      <c r="M12" s="4">
        <f t="shared" si="11"/>
        <v>-0.3681197472541165</v>
      </c>
      <c r="N12" s="4">
        <f t="shared" si="12"/>
        <v>-4.4464690262841847E-2</v>
      </c>
      <c r="O12" s="5">
        <f t="shared" si="13"/>
        <v>1.4540806347549287</v>
      </c>
      <c r="P12" s="2">
        <f t="shared" si="14"/>
        <v>24730.792863145442</v>
      </c>
      <c r="Q12" s="1">
        <f t="shared" si="15"/>
        <v>-750472724.4865694</v>
      </c>
      <c r="R12" s="6">
        <f t="shared" si="16"/>
        <v>305806057.81990278</v>
      </c>
      <c r="S12">
        <v>15</v>
      </c>
      <c r="T12" s="4">
        <f t="shared" si="17"/>
        <v>1.1209166818152287</v>
      </c>
      <c r="U12" s="4">
        <f t="shared" si="18"/>
        <v>0.30034871967496424</v>
      </c>
      <c r="V12" s="4">
        <f t="shared" si="19"/>
        <v>0</v>
      </c>
      <c r="W12" s="5">
        <f t="shared" si="20"/>
        <v>1.1604583409076143</v>
      </c>
      <c r="X12" s="2">
        <f t="shared" si="21"/>
        <v>27683.277621159901</v>
      </c>
      <c r="Y12" s="1">
        <f t="shared" si="22"/>
        <v>-939015263.25843966</v>
      </c>
      <c r="Z12" s="1">
        <f t="shared" si="23"/>
        <v>383181929.92510629</v>
      </c>
      <c r="AA12" s="1">
        <f t="shared" si="24"/>
        <v>-555833333.33333337</v>
      </c>
    </row>
    <row r="13" spans="1:35" x14ac:dyDescent="0.3">
      <c r="A13">
        <v>20</v>
      </c>
      <c r="B13" s="4">
        <f t="shared" si="3"/>
        <v>0.55570307163804256</v>
      </c>
      <c r="C13" s="4">
        <f t="shared" si="4"/>
        <v>-0.25951533888385431</v>
      </c>
      <c r="D13" s="4">
        <f t="shared" si="5"/>
        <v>-5.5019452463436848E-2</v>
      </c>
      <c r="E13" s="4">
        <f t="shared" si="6"/>
        <v>-5.1261937932075234</v>
      </c>
      <c r="F13" s="5">
        <f t="shared" si="1"/>
        <v>0.61577695238887731</v>
      </c>
      <c r="G13" s="5">
        <f t="shared" si="7"/>
        <v>0.61577695238887731</v>
      </c>
      <c r="H13" s="2">
        <f t="shared" si="8"/>
        <v>38003.235271735299</v>
      </c>
      <c r="I13" s="1">
        <f t="shared" si="2"/>
        <v>-1611456278.8927662</v>
      </c>
      <c r="J13" s="6">
        <f t="shared" si="9"/>
        <v>722122945.55943286</v>
      </c>
      <c r="K13">
        <v>20</v>
      </c>
      <c r="L13" s="4">
        <f t="shared" si="10"/>
        <v>-1.1605110408385286</v>
      </c>
      <c r="M13" s="4">
        <f t="shared" si="11"/>
        <v>-0.4120116575053776</v>
      </c>
      <c r="N13" s="4">
        <f t="shared" si="12"/>
        <v>-1.362125342548276E-2</v>
      </c>
      <c r="O13" s="5">
        <f t="shared" si="13"/>
        <v>1.2315539047777546</v>
      </c>
      <c r="P13" s="2">
        <f t="shared" si="14"/>
        <v>26872.345367671816</v>
      </c>
      <c r="Q13" s="1">
        <f t="shared" si="15"/>
        <v>-805728139.44638312</v>
      </c>
      <c r="R13" s="6">
        <f t="shared" si="16"/>
        <v>361061472.77971643</v>
      </c>
      <c r="S13">
        <v>20</v>
      </c>
      <c r="T13" s="4">
        <f t="shared" si="17"/>
        <v>1.0634945743553152</v>
      </c>
      <c r="U13" s="4">
        <f t="shared" si="18"/>
        <v>0.38708036936893925</v>
      </c>
      <c r="V13" s="4">
        <f t="shared" si="19"/>
        <v>0</v>
      </c>
      <c r="W13" s="5">
        <f t="shared" ref="W13:W76" si="25">W$3/(1-T$6*COS(RADIANS(S13)))</f>
        <v>1.1317472871776577</v>
      </c>
      <c r="X13" s="2">
        <f t="shared" si="21"/>
        <v>28032.223956166334</v>
      </c>
      <c r="Y13" s="1">
        <f t="shared" si="22"/>
        <v>-948736123.29766619</v>
      </c>
      <c r="Z13" s="1">
        <f t="shared" si="23"/>
        <v>392902789.96433282</v>
      </c>
      <c r="AA13" s="1">
        <f t="shared" si="24"/>
        <v>-555833333.33333337</v>
      </c>
    </row>
    <row r="14" spans="1:35" x14ac:dyDescent="0.3">
      <c r="A14">
        <v>25</v>
      </c>
      <c r="B14" s="4">
        <f t="shared" si="3"/>
        <v>0.44420602228697365</v>
      </c>
      <c r="C14" s="4">
        <f t="shared" si="4"/>
        <v>-0.25697969095998818</v>
      </c>
      <c r="D14" s="4">
        <f t="shared" si="5"/>
        <v>-4.7741148535689018E-2</v>
      </c>
      <c r="E14" s="4">
        <f t="shared" si="6"/>
        <v>-5.3148917014534405</v>
      </c>
      <c r="F14" s="5">
        <f t="shared" si="1"/>
        <v>0.51539962074628365</v>
      </c>
      <c r="G14" s="5">
        <f t="shared" si="7"/>
        <v>0.51539962074628376</v>
      </c>
      <c r="H14" s="2">
        <f t="shared" si="8"/>
        <v>41539.40178840969</v>
      </c>
      <c r="I14" s="1">
        <f t="shared" si="2"/>
        <v>-1752094283.8028007</v>
      </c>
      <c r="J14" s="6">
        <f t="shared" si="9"/>
        <v>862760950.46946716</v>
      </c>
      <c r="K14">
        <v>25</v>
      </c>
      <c r="L14" s="4">
        <f t="shared" si="10"/>
        <v>-0.93856038769676542</v>
      </c>
      <c r="M14" s="4">
        <f t="shared" si="11"/>
        <v>-0.42611492278728624</v>
      </c>
      <c r="N14" s="4">
        <f t="shared" si="12"/>
        <v>8.8061050490584186E-3</v>
      </c>
      <c r="O14" s="5">
        <f t="shared" si="13"/>
        <v>1.0307992414925675</v>
      </c>
      <c r="P14" s="2">
        <f t="shared" si="14"/>
        <v>29372.792691017094</v>
      </c>
      <c r="Q14" s="1">
        <f t="shared" si="15"/>
        <v>-876047141.90140033</v>
      </c>
      <c r="R14" s="6">
        <f t="shared" si="16"/>
        <v>431380475.23473358</v>
      </c>
      <c r="S14">
        <v>25</v>
      </c>
      <c r="T14" s="4">
        <f t="shared" si="17"/>
        <v>0.99440165299999705</v>
      </c>
      <c r="U14" s="4">
        <f t="shared" si="18"/>
        <v>0.46369710607588815</v>
      </c>
      <c r="V14" s="4">
        <f t="shared" si="19"/>
        <v>0</v>
      </c>
      <c r="W14" s="5">
        <f t="shared" si="25"/>
        <v>1.0972008264999986</v>
      </c>
      <c r="X14" s="2">
        <f t="shared" si="21"/>
        <v>28470.115053558147</v>
      </c>
      <c r="Y14" s="1">
        <f t="shared" si="22"/>
        <v>-961107058.91475248</v>
      </c>
      <c r="Z14" s="1">
        <f t="shared" si="23"/>
        <v>405273725.58141911</v>
      </c>
      <c r="AA14" s="1">
        <f t="shared" si="24"/>
        <v>-555833333.33333337</v>
      </c>
    </row>
    <row r="15" spans="1:35" x14ac:dyDescent="0.3">
      <c r="A15">
        <v>30</v>
      </c>
      <c r="B15" s="4">
        <f t="shared" si="3"/>
        <v>0.35089596008254775</v>
      </c>
      <c r="C15" s="4">
        <f t="shared" si="4"/>
        <v>-0.24633959517209167</v>
      </c>
      <c r="D15" s="4">
        <f t="shared" si="5"/>
        <v>-4.1003318520849256E-2</v>
      </c>
      <c r="E15" s="4">
        <f t="shared" si="6"/>
        <v>-5.463070209364707</v>
      </c>
      <c r="F15" s="5">
        <f t="shared" si="1"/>
        <v>0.43068833636578219</v>
      </c>
      <c r="G15" s="5">
        <f t="shared" si="7"/>
        <v>0.43068833636578224</v>
      </c>
      <c r="H15" s="2">
        <f t="shared" si="8"/>
        <v>45441.298182006038</v>
      </c>
      <c r="I15" s="1">
        <f t="shared" si="2"/>
        <v>-1921789123.5663261</v>
      </c>
      <c r="J15" s="6">
        <f t="shared" si="9"/>
        <v>1032455790.2329926</v>
      </c>
      <c r="K15">
        <v>30</v>
      </c>
      <c r="L15" s="4">
        <f t="shared" si="10"/>
        <v>-0.75093979742575168</v>
      </c>
      <c r="M15" s="4">
        <f t="shared" si="11"/>
        <v>-0.42127676288022403</v>
      </c>
      <c r="N15" s="4">
        <f t="shared" si="12"/>
        <v>2.4188468852562706E-2</v>
      </c>
      <c r="O15" s="5">
        <f t="shared" si="13"/>
        <v>0.86137667273156449</v>
      </c>
      <c r="P15" s="2">
        <f t="shared" si="14"/>
        <v>32131.850090416403</v>
      </c>
      <c r="Q15" s="1">
        <f t="shared" si="15"/>
        <v>-960894561.78316307</v>
      </c>
      <c r="R15" s="6">
        <f t="shared" si="16"/>
        <v>516227895.11649632</v>
      </c>
      <c r="S15">
        <v>30</v>
      </c>
      <c r="T15" s="4">
        <f t="shared" si="17"/>
        <v>0.91644952894850895</v>
      </c>
      <c r="U15" s="4">
        <f t="shared" si="18"/>
        <v>0.5291123822371272</v>
      </c>
      <c r="V15" s="4">
        <f t="shared" si="19"/>
        <v>0</v>
      </c>
      <c r="W15" s="5">
        <f t="shared" si="25"/>
        <v>1.0582247644742546</v>
      </c>
      <c r="X15" s="2">
        <f t="shared" si="21"/>
        <v>28989.67355754611</v>
      </c>
      <c r="Y15" s="1">
        <f t="shared" si="22"/>
        <v>-976033919.81987739</v>
      </c>
      <c r="Z15" s="1">
        <f t="shared" si="23"/>
        <v>420200586.48654407</v>
      </c>
      <c r="AA15" s="1">
        <f t="shared" si="24"/>
        <v>-555833333.33333325</v>
      </c>
    </row>
    <row r="16" spans="1:35" x14ac:dyDescent="0.3">
      <c r="A16">
        <v>35</v>
      </c>
      <c r="B16" s="4">
        <f t="shared" si="3"/>
        <v>0.27527759736923063</v>
      </c>
      <c r="C16" s="4">
        <f t="shared" si="4"/>
        <v>-0.23174086927619261</v>
      </c>
      <c r="D16" s="4">
        <f t="shared" si="5"/>
        <v>-3.5089258889065375E-2</v>
      </c>
      <c r="E16" s="4">
        <f t="shared" si="6"/>
        <v>-5.5695726847632878</v>
      </c>
      <c r="F16" s="5">
        <f t="shared" si="1"/>
        <v>0.36154231038101958</v>
      </c>
      <c r="G16" s="5">
        <f t="shared" si="7"/>
        <v>0.36154231038101964</v>
      </c>
      <c r="H16" s="2">
        <f t="shared" si="8"/>
        <v>49596.693128773521</v>
      </c>
      <c r="I16" s="1">
        <f t="shared" si="2"/>
        <v>-2119249317.9881988</v>
      </c>
      <c r="J16" s="6">
        <f t="shared" si="9"/>
        <v>1229915984.6548653</v>
      </c>
      <c r="K16">
        <v>35</v>
      </c>
      <c r="L16" s="4">
        <f t="shared" si="10"/>
        <v>-0.59757775929268497</v>
      </c>
      <c r="M16" s="4">
        <f t="shared" si="11"/>
        <v>-0.40568114192090077</v>
      </c>
      <c r="N16" s="4">
        <f t="shared" si="12"/>
        <v>3.4278294459759127E-2</v>
      </c>
      <c r="O16" s="5">
        <f t="shared" si="13"/>
        <v>0.72308462076203928</v>
      </c>
      <c r="P16" s="2">
        <f t="shared" si="14"/>
        <v>35070.158035783999</v>
      </c>
      <c r="Q16" s="1">
        <f t="shared" si="15"/>
        <v>-1059624658.9940994</v>
      </c>
      <c r="R16" s="6">
        <f t="shared" si="16"/>
        <v>614957992.32743263</v>
      </c>
      <c r="S16">
        <v>35</v>
      </c>
      <c r="T16" s="4">
        <f t="shared" si="17"/>
        <v>0.83243778201311303</v>
      </c>
      <c r="U16" s="4">
        <f t="shared" si="18"/>
        <v>0.58287921005615284</v>
      </c>
      <c r="V16" s="4">
        <f t="shared" si="19"/>
        <v>0</v>
      </c>
      <c r="W16" s="5">
        <f t="shared" si="25"/>
        <v>1.0162188910065566</v>
      </c>
      <c r="X16" s="2">
        <f t="shared" si="21"/>
        <v>29582.757486587845</v>
      </c>
      <c r="Y16" s="1">
        <f t="shared" si="22"/>
        <v>-993403103.58846796</v>
      </c>
      <c r="Z16" s="1">
        <f t="shared" si="23"/>
        <v>437569770.25513458</v>
      </c>
      <c r="AA16" s="1">
        <f t="shared" si="24"/>
        <v>-555833333.33333337</v>
      </c>
    </row>
    <row r="17" spans="1:27" x14ac:dyDescent="0.3">
      <c r="A17">
        <v>40</v>
      </c>
      <c r="B17" s="4">
        <f t="shared" si="3"/>
        <v>0.21482322274838186</v>
      </c>
      <c r="C17" s="4">
        <f t="shared" si="4"/>
        <v>-0.2156929781084673</v>
      </c>
      <c r="D17" s="4">
        <f t="shared" si="5"/>
        <v>-3.0028862248132789E-2</v>
      </c>
      <c r="E17" s="4">
        <f t="shared" si="6"/>
        <v>-5.6335664204229028</v>
      </c>
      <c r="F17" s="5">
        <f t="shared" si="1"/>
        <v>0.30589901994811619</v>
      </c>
      <c r="G17" s="5">
        <f t="shared" si="7"/>
        <v>0.30589901994811619</v>
      </c>
      <c r="H17" s="2">
        <f t="shared" si="8"/>
        <v>53919.175483788837</v>
      </c>
      <c r="I17" s="1">
        <f t="shared" si="2"/>
        <v>-2342972075.759141</v>
      </c>
      <c r="J17" s="6">
        <f t="shared" si="9"/>
        <v>1453638742.4258077</v>
      </c>
      <c r="K17">
        <v>40</v>
      </c>
      <c r="L17" s="4">
        <f t="shared" si="10"/>
        <v>-0.47400715566782553</v>
      </c>
      <c r="M17" s="4">
        <f t="shared" si="11"/>
        <v>-0.38466260818658715</v>
      </c>
      <c r="N17" s="4">
        <f t="shared" si="12"/>
        <v>4.0604628549733984E-2</v>
      </c>
      <c r="O17" s="5">
        <f t="shared" si="13"/>
        <v>0.61179803989623238</v>
      </c>
      <c r="P17" s="2">
        <f t="shared" si="14"/>
        <v>38126.614620574532</v>
      </c>
      <c r="Q17" s="1">
        <f t="shared" si="15"/>
        <v>-1171486037.8795705</v>
      </c>
      <c r="R17" s="6">
        <f t="shared" si="16"/>
        <v>726819371.21290386</v>
      </c>
      <c r="S17">
        <v>40</v>
      </c>
      <c r="T17" s="4">
        <f t="shared" si="17"/>
        <v>0.74496470040323193</v>
      </c>
      <c r="U17" s="4">
        <f t="shared" si="18"/>
        <v>0.62509960534844466</v>
      </c>
      <c r="V17" s="4">
        <f t="shared" si="19"/>
        <v>0</v>
      </c>
      <c r="W17" s="5">
        <f t="shared" si="25"/>
        <v>0.972482350201616</v>
      </c>
      <c r="X17" s="2">
        <f t="shared" si="21"/>
        <v>30240.670856014818</v>
      </c>
      <c r="Y17" s="1">
        <f t="shared" si="22"/>
        <v>-1013082420.2442453</v>
      </c>
      <c r="Z17" s="1">
        <f t="shared" si="23"/>
        <v>457249086.91091198</v>
      </c>
      <c r="AA17" s="1">
        <f t="shared" si="24"/>
        <v>-555833333.33333325</v>
      </c>
    </row>
    <row r="18" spans="1:27" x14ac:dyDescent="0.3">
      <c r="A18">
        <v>45</v>
      </c>
      <c r="B18" s="4">
        <f t="shared" si="3"/>
        <v>0.16663859902348549</v>
      </c>
      <c r="C18" s="4">
        <f t="shared" si="4"/>
        <v>-0.19958108148516693</v>
      </c>
      <c r="D18" s="4">
        <f t="shared" si="5"/>
        <v>-2.5743364761138504E-2</v>
      </c>
      <c r="E18" s="4">
        <f t="shared" si="6"/>
        <v>-5.6545505024793066</v>
      </c>
      <c r="F18" s="5">
        <f t="shared" si="1"/>
        <v>0.26127332738058789</v>
      </c>
      <c r="G18" s="5">
        <f t="shared" si="7"/>
        <v>0.26127332738058789</v>
      </c>
      <c r="H18" s="2">
        <f t="shared" si="8"/>
        <v>58342.461351432343</v>
      </c>
      <c r="I18" s="1">
        <f t="shared" si="2"/>
        <v>-2591254731.6050215</v>
      </c>
      <c r="J18" s="6">
        <f t="shared" si="9"/>
        <v>1701921398.2716882</v>
      </c>
      <c r="K18">
        <v>45</v>
      </c>
      <c r="L18" s="4">
        <f t="shared" si="10"/>
        <v>-0.37478576865508301</v>
      </c>
      <c r="M18" s="4">
        <f t="shared" si="11"/>
        <v>-0.36142190276299696</v>
      </c>
      <c r="N18" s="4">
        <f t="shared" si="12"/>
        <v>4.4326540795429137E-2</v>
      </c>
      <c r="O18" s="5">
        <f t="shared" si="13"/>
        <v>0.52254665476117579</v>
      </c>
      <c r="P18" s="2">
        <f t="shared" si="14"/>
        <v>41254.350052711874</v>
      </c>
      <c r="Q18" s="1">
        <f t="shared" si="15"/>
        <v>-1295627365.8025107</v>
      </c>
      <c r="R18" s="6">
        <f t="shared" si="16"/>
        <v>850960699.13584411</v>
      </c>
      <c r="S18">
        <v>45</v>
      </c>
      <c r="T18" s="4">
        <f t="shared" si="17"/>
        <v>0.65630179281363266</v>
      </c>
      <c r="U18" s="4">
        <f t="shared" si="18"/>
        <v>0.65630179281363255</v>
      </c>
      <c r="V18" s="4">
        <f t="shared" si="19"/>
        <v>0</v>
      </c>
      <c r="W18" s="5">
        <f t="shared" si="25"/>
        <v>0.92815089640681636</v>
      </c>
      <c r="X18" s="2">
        <f t="shared" si="21"/>
        <v>30954.442814285296</v>
      </c>
      <c r="Y18" s="1">
        <f t="shared" si="22"/>
        <v>-1034922098.3047626</v>
      </c>
      <c r="Z18" s="1">
        <f t="shared" si="23"/>
        <v>479088764.97142929</v>
      </c>
      <c r="AA18" s="1">
        <f t="shared" si="24"/>
        <v>-555833333.33333325</v>
      </c>
    </row>
    <row r="19" spans="1:27" x14ac:dyDescent="0.3">
      <c r="A19">
        <v>50</v>
      </c>
      <c r="B19" s="4">
        <f t="shared" si="3"/>
        <v>0.12812667033930464</v>
      </c>
      <c r="C19" s="4">
        <f t="shared" si="4"/>
        <v>-0.18410592108105064</v>
      </c>
      <c r="D19" s="4">
        <f t="shared" si="5"/>
        <v>-2.2120924171034249E-2</v>
      </c>
      <c r="E19" s="4">
        <f t="shared" si="6"/>
        <v>-5.6323605830839476</v>
      </c>
      <c r="F19" s="5">
        <f t="shared" si="1"/>
        <v>0.22539025958439185</v>
      </c>
      <c r="G19" s="5">
        <f t="shared" si="7"/>
        <v>0.22539025958439185</v>
      </c>
      <c r="H19" s="2">
        <f t="shared" si="8"/>
        <v>62815.195156337038</v>
      </c>
      <c r="I19" s="1">
        <f t="shared" si="2"/>
        <v>-2862207704.5976877</v>
      </c>
      <c r="J19" s="6">
        <f t="shared" si="9"/>
        <v>1972874371.2643542</v>
      </c>
      <c r="K19">
        <v>50</v>
      </c>
      <c r="L19" s="4">
        <f t="shared" si="10"/>
        <v>-0.29491092438390093</v>
      </c>
      <c r="M19" s="4">
        <f t="shared" si="11"/>
        <v>-0.33777188689364723</v>
      </c>
      <c r="N19" s="4">
        <f t="shared" si="12"/>
        <v>4.6268515919753478E-2</v>
      </c>
      <c r="O19" s="5">
        <f t="shared" si="13"/>
        <v>0.4507805191687837</v>
      </c>
      <c r="P19" s="2">
        <f t="shared" si="14"/>
        <v>44417.050456602294</v>
      </c>
      <c r="Q19" s="1">
        <f t="shared" si="15"/>
        <v>-1431103852.2988439</v>
      </c>
      <c r="R19" s="6">
        <f t="shared" si="16"/>
        <v>986437185.63217711</v>
      </c>
      <c r="S19">
        <v>50</v>
      </c>
      <c r="T19" s="4">
        <f t="shared" si="17"/>
        <v>0.56833045227777357</v>
      </c>
      <c r="U19" s="4">
        <f t="shared" si="18"/>
        <v>0.67730985828272883</v>
      </c>
      <c r="V19" s="4">
        <f t="shared" si="19"/>
        <v>0</v>
      </c>
      <c r="W19" s="5">
        <f t="shared" si="25"/>
        <v>0.88416522613888682</v>
      </c>
      <c r="X19" s="2">
        <f t="shared" si="21"/>
        <v>31715.062393111821</v>
      </c>
      <c r="Y19" s="1">
        <f t="shared" si="22"/>
        <v>-1058755924.6328212</v>
      </c>
      <c r="Z19" s="1">
        <f t="shared" si="23"/>
        <v>502922591.29948783</v>
      </c>
      <c r="AA19" s="1">
        <f t="shared" si="24"/>
        <v>-555833333.33333337</v>
      </c>
    </row>
    <row r="20" spans="1:27" x14ac:dyDescent="0.3">
      <c r="A20">
        <v>55</v>
      </c>
      <c r="B20" s="4">
        <f t="shared" si="3"/>
        <v>9.7165962381449214E-2</v>
      </c>
      <c r="C20" s="4">
        <f t="shared" si="4"/>
        <v>-0.16957872211509142</v>
      </c>
      <c r="D20" s="4">
        <f t="shared" si="5"/>
        <v>-1.9050347880509785E-2</v>
      </c>
      <c r="E20" s="4">
        <f t="shared" si="6"/>
        <v>-5.567170452817189</v>
      </c>
      <c r="F20" s="5">
        <f t="shared" si="1"/>
        <v>0.19636976089527899</v>
      </c>
      <c r="G20" s="5">
        <f t="shared" si="7"/>
        <v>0.19636976089527899</v>
      </c>
      <c r="H20" s="2">
        <f t="shared" si="8"/>
        <v>67296.887679497537</v>
      </c>
      <c r="I20" s="1">
        <f t="shared" si="2"/>
        <v>-3153768879.0067873</v>
      </c>
      <c r="J20" s="6">
        <f t="shared" si="9"/>
        <v>2264435545.6734538</v>
      </c>
      <c r="K20">
        <v>55</v>
      </c>
      <c r="L20" s="4">
        <f t="shared" si="10"/>
        <v>-0.23023860065694263</v>
      </c>
      <c r="M20" s="4">
        <f t="shared" si="11"/>
        <v>-0.31468317287184477</v>
      </c>
      <c r="N20" s="4">
        <f t="shared" si="12"/>
        <v>4.7000206968882255E-2</v>
      </c>
      <c r="O20" s="5">
        <f t="shared" si="13"/>
        <v>0.39273952179055799</v>
      </c>
      <c r="P20" s="2">
        <f t="shared" si="14"/>
        <v>47586.085630922134</v>
      </c>
      <c r="Q20" s="1">
        <f t="shared" si="15"/>
        <v>-1576884439.5033937</v>
      </c>
      <c r="R20" s="6">
        <f t="shared" si="16"/>
        <v>1132217772.8367269</v>
      </c>
      <c r="S20">
        <v>55</v>
      </c>
      <c r="T20" s="4">
        <f t="shared" si="17"/>
        <v>0.48252969255536332</v>
      </c>
      <c r="U20" s="4">
        <f t="shared" si="18"/>
        <v>0.68912381861682737</v>
      </c>
      <c r="V20" s="4">
        <f t="shared" si="19"/>
        <v>0</v>
      </c>
      <c r="W20" s="5">
        <f t="shared" si="25"/>
        <v>0.84126484627768172</v>
      </c>
      <c r="X20" s="2">
        <f t="shared" si="21"/>
        <v>32513.664084057749</v>
      </c>
      <c r="Y20" s="1">
        <f t="shared" si="22"/>
        <v>-1084402509.4188068</v>
      </c>
      <c r="Z20" s="1">
        <f t="shared" si="23"/>
        <v>528569176.08547342</v>
      </c>
      <c r="AA20" s="1">
        <f t="shared" si="24"/>
        <v>-555833333.33333337</v>
      </c>
    </row>
    <row r="21" spans="1:27" x14ac:dyDescent="0.3">
      <c r="A21">
        <v>60</v>
      </c>
      <c r="B21" s="4">
        <f t="shared" si="3"/>
        <v>7.2094769498175018E-2</v>
      </c>
      <c r="C21" s="4">
        <f t="shared" si="4"/>
        <v>-0.15609929977546541</v>
      </c>
      <c r="D21" s="4">
        <f t="shared" si="5"/>
        <v>-1.643361081491352E-2</v>
      </c>
      <c r="E21" s="4">
        <f t="shared" si="6"/>
        <v>-5.4594903780291668</v>
      </c>
      <c r="F21" s="5">
        <f t="shared" si="1"/>
        <v>0.1727272727272727</v>
      </c>
      <c r="G21" s="5">
        <f t="shared" si="7"/>
        <v>0.17272727272727273</v>
      </c>
      <c r="H21" s="2">
        <f t="shared" si="8"/>
        <v>71754.943591536343</v>
      </c>
      <c r="I21" s="1">
        <f t="shared" si="2"/>
        <v>-3463719298.2456145</v>
      </c>
      <c r="J21" s="6">
        <f t="shared" si="9"/>
        <v>2574385964.912281</v>
      </c>
      <c r="K21">
        <v>60</v>
      </c>
      <c r="L21" s="4">
        <f t="shared" si="10"/>
        <v>-0.17749120619033787</v>
      </c>
      <c r="M21" s="4">
        <f t="shared" si="11"/>
        <v>-0.29263477721525827</v>
      </c>
      <c r="N21" s="4">
        <f t="shared" si="12"/>
        <v>4.691057305642049E-2</v>
      </c>
      <c r="O21" s="5">
        <f t="shared" si="13"/>
        <v>0.34545454545454546</v>
      </c>
      <c r="P21" s="2">
        <f t="shared" si="14"/>
        <v>50738.407197233544</v>
      </c>
      <c r="Q21" s="1">
        <f t="shared" si="15"/>
        <v>-1731859649.1228073</v>
      </c>
      <c r="R21" s="6">
        <f t="shared" si="16"/>
        <v>1287192982.4561405</v>
      </c>
      <c r="S21">
        <v>60</v>
      </c>
      <c r="T21" s="4">
        <f t="shared" si="17"/>
        <v>0.40000000000000019</v>
      </c>
      <c r="U21" s="4">
        <f t="shared" si="18"/>
        <v>0.69282032302755103</v>
      </c>
      <c r="V21" s="4">
        <f t="shared" si="19"/>
        <v>0</v>
      </c>
      <c r="W21" s="5">
        <f t="shared" si="25"/>
        <v>0.80000000000000016</v>
      </c>
      <c r="X21" s="2">
        <f t="shared" si="21"/>
        <v>33341.665625260328</v>
      </c>
      <c r="Y21" s="1">
        <f t="shared" si="22"/>
        <v>-1111666666.6666665</v>
      </c>
      <c r="Z21" s="1">
        <f t="shared" si="23"/>
        <v>555833333.33333313</v>
      </c>
      <c r="AA21" s="1">
        <f t="shared" si="24"/>
        <v>-555833333.33333337</v>
      </c>
    </row>
    <row r="22" spans="1:27" x14ac:dyDescent="0.3">
      <c r="A22">
        <v>65</v>
      </c>
      <c r="B22" s="4">
        <f t="shared" si="3"/>
        <v>5.1635173987636521E-2</v>
      </c>
      <c r="C22" s="4">
        <f t="shared" si="4"/>
        <v>-0.14365811329008479</v>
      </c>
      <c r="D22" s="4">
        <f t="shared" si="5"/>
        <v>-1.4188775238838257E-2</v>
      </c>
      <c r="E22" s="4">
        <f t="shared" si="6"/>
        <v>-5.3101622399331907</v>
      </c>
      <c r="F22" s="5">
        <f t="shared" si="1"/>
        <v>0.15331394603746457</v>
      </c>
      <c r="G22" s="5">
        <f t="shared" si="7"/>
        <v>0.15331394603746459</v>
      </c>
      <c r="H22" s="2">
        <f t="shared" si="8"/>
        <v>76162.546164597865</v>
      </c>
      <c r="I22" s="1">
        <f t="shared" si="2"/>
        <v>-3789700052.4705839</v>
      </c>
      <c r="J22" s="6">
        <f t="shared" si="9"/>
        <v>2900366719.1372504</v>
      </c>
      <c r="K22">
        <v>65</v>
      </c>
      <c r="L22" s="4">
        <f t="shared" si="10"/>
        <v>-0.13412915908840156</v>
      </c>
      <c r="M22" s="4">
        <f t="shared" si="11"/>
        <v>-0.27182648102399809</v>
      </c>
      <c r="N22" s="4">
        <f t="shared" si="12"/>
        <v>4.6264425800637575E-2</v>
      </c>
      <c r="O22" s="5">
        <f t="shared" si="13"/>
        <v>0.30662789207492919</v>
      </c>
      <c r="P22" s="2">
        <f t="shared" si="14"/>
        <v>53855.052865420628</v>
      </c>
      <c r="Q22" s="1">
        <f t="shared" si="15"/>
        <v>-1894850026.235292</v>
      </c>
      <c r="R22" s="6">
        <f t="shared" si="16"/>
        <v>1450183359.5686252</v>
      </c>
      <c r="S22">
        <v>65</v>
      </c>
      <c r="T22" s="4">
        <f t="shared" si="17"/>
        <v>0.32150867592044613</v>
      </c>
      <c r="U22" s="4">
        <f t="shared" si="18"/>
        <v>0.68947758051526153</v>
      </c>
      <c r="V22" s="4">
        <f t="shared" si="19"/>
        <v>0</v>
      </c>
      <c r="W22" s="5">
        <f t="shared" si="25"/>
        <v>0.76075433796022318</v>
      </c>
      <c r="X22" s="2">
        <f t="shared" si="21"/>
        <v>34190.86329251904</v>
      </c>
      <c r="Y22" s="1">
        <f t="shared" si="22"/>
        <v>-1140340899.6771963</v>
      </c>
      <c r="Z22" s="1">
        <f t="shared" si="23"/>
        <v>584507566.34386289</v>
      </c>
      <c r="AA22" s="1">
        <f t="shared" si="24"/>
        <v>-555833333.33333337</v>
      </c>
    </row>
    <row r="23" spans="1:27" x14ac:dyDescent="0.3">
      <c r="A23">
        <v>70</v>
      </c>
      <c r="B23" s="4">
        <f t="shared" si="3"/>
        <v>3.4810473904012824E-2</v>
      </c>
      <c r="C23" s="4">
        <f t="shared" si="4"/>
        <v>-0.13219295090336544</v>
      </c>
      <c r="D23" s="4">
        <f t="shared" si="5"/>
        <v>-1.2249047011237362E-2</v>
      </c>
      <c r="E23" s="4">
        <f t="shared" si="6"/>
        <v>-5.1203515818140284</v>
      </c>
      <c r="F23" s="5">
        <f t="shared" si="1"/>
        <v>0.13724716578000817</v>
      </c>
      <c r="G23" s="5">
        <f t="shared" si="7"/>
        <v>0.13724716578000817</v>
      </c>
      <c r="H23" s="2">
        <f t="shared" si="8"/>
        <v>80497.166384614422</v>
      </c>
      <c r="I23" s="1">
        <f t="shared" si="2"/>
        <v>-4129230231.3094821</v>
      </c>
      <c r="J23" s="6">
        <f t="shared" si="9"/>
        <v>3239896897.9761486</v>
      </c>
      <c r="K23">
        <v>70</v>
      </c>
      <c r="L23" s="4">
        <f t="shared" si="10"/>
        <v>-9.8199397218229137E-2</v>
      </c>
      <c r="M23" s="4">
        <f t="shared" si="11"/>
        <v>-0.25230368343982412</v>
      </c>
      <c r="N23" s="4">
        <f t="shared" si="12"/>
        <v>4.5242322743794465E-2</v>
      </c>
      <c r="O23" s="5">
        <f t="shared" si="13"/>
        <v>0.27449433156001635</v>
      </c>
      <c r="P23" s="2">
        <f t="shared" si="14"/>
        <v>56920.092216862657</v>
      </c>
      <c r="Q23" s="1">
        <f t="shared" si="15"/>
        <v>-2064615115.654741</v>
      </c>
      <c r="R23" s="6">
        <f t="shared" si="16"/>
        <v>1619948448.9880743</v>
      </c>
      <c r="S23">
        <v>70</v>
      </c>
      <c r="T23" s="4">
        <f t="shared" si="17"/>
        <v>0.24754472760245377</v>
      </c>
      <c r="U23" s="4">
        <f t="shared" si="18"/>
        <v>0.68012354939278685</v>
      </c>
      <c r="V23" s="4">
        <f t="shared" si="19"/>
        <v>0</v>
      </c>
      <c r="W23" s="5">
        <f t="shared" si="25"/>
        <v>0.723772363801227</v>
      </c>
      <c r="X23" s="2">
        <f t="shared" si="21"/>
        <v>35053.491891390135</v>
      </c>
      <c r="Y23" s="1">
        <f t="shared" si="22"/>
        <v>-1170206980.2232103</v>
      </c>
      <c r="Z23" s="1">
        <f t="shared" si="23"/>
        <v>614373646.88987696</v>
      </c>
      <c r="AA23" s="1">
        <f t="shared" si="24"/>
        <v>-555833333.33333337</v>
      </c>
    </row>
    <row r="24" spans="1:27" x14ac:dyDescent="0.3">
      <c r="A24">
        <v>75</v>
      </c>
      <c r="B24" s="4">
        <f t="shared" si="3"/>
        <v>2.0873877020490646E-2</v>
      </c>
      <c r="C24" s="4">
        <f t="shared" si="4"/>
        <v>-0.12161965542268323</v>
      </c>
      <c r="D24" s="4">
        <f t="shared" si="5"/>
        <v>-1.0560576840859157E-2</v>
      </c>
      <c r="E24" s="4">
        <f t="shared" si="6"/>
        <v>-4.8915367341860092</v>
      </c>
      <c r="F24" s="5">
        <f t="shared" si="1"/>
        <v>0.12384904162007254</v>
      </c>
      <c r="G24" s="5">
        <f t="shared" si="7"/>
        <v>0.12384904162007254</v>
      </c>
      <c r="H24" s="2">
        <f t="shared" si="8"/>
        <v>84739.51229213069</v>
      </c>
      <c r="I24" s="1">
        <f t="shared" si="2"/>
        <v>-4479725805.0874176</v>
      </c>
      <c r="J24" s="6">
        <f t="shared" si="9"/>
        <v>3590392471.7540841</v>
      </c>
      <c r="K24">
        <v>75</v>
      </c>
      <c r="L24" s="4">
        <f t="shared" si="10"/>
        <v>-6.8200548832464236E-2</v>
      </c>
      <c r="M24" s="4">
        <f t="shared" si="11"/>
        <v>-0.23402961491081428</v>
      </c>
      <c r="N24" s="4">
        <f t="shared" si="12"/>
        <v>4.3967771429633554E-2</v>
      </c>
      <c r="O24" s="5">
        <f t="shared" si="13"/>
        <v>0.24769808324014508</v>
      </c>
      <c r="P24" s="2">
        <f t="shared" si="14"/>
        <v>59919.883776206407</v>
      </c>
      <c r="Q24" s="1">
        <f t="shared" si="15"/>
        <v>-2239862902.5437088</v>
      </c>
      <c r="R24" s="6">
        <f t="shared" si="16"/>
        <v>1795196235.8770421</v>
      </c>
      <c r="S24">
        <v>75</v>
      </c>
      <c r="T24" s="4">
        <f t="shared" si="17"/>
        <v>0.17837482844585331</v>
      </c>
      <c r="U24" s="4">
        <f t="shared" si="18"/>
        <v>0.66570392255130695</v>
      </c>
      <c r="V24" s="4">
        <f t="shared" si="19"/>
        <v>0</v>
      </c>
      <c r="W24" s="5">
        <f t="shared" si="25"/>
        <v>0.68918741422292673</v>
      </c>
      <c r="X24" s="2">
        <f t="shared" si="21"/>
        <v>35922.257057840565</v>
      </c>
      <c r="Y24" s="1">
        <f t="shared" si="22"/>
        <v>-1201037609.3981214</v>
      </c>
      <c r="Z24" s="1">
        <f t="shared" si="23"/>
        <v>645204276.0647881</v>
      </c>
      <c r="AA24" s="1">
        <f t="shared" si="24"/>
        <v>-555833333.33333325</v>
      </c>
    </row>
    <row r="25" spans="1:27" x14ac:dyDescent="0.3">
      <c r="A25">
        <v>80</v>
      </c>
      <c r="B25" s="4">
        <f t="shared" si="3"/>
        <v>9.2520575038537323E-3</v>
      </c>
      <c r="C25" s="4">
        <f t="shared" si="4"/>
        <v>-0.11184831505742157</v>
      </c>
      <c r="D25" s="4">
        <f t="shared" si="5"/>
        <v>-9.0801025338292478E-3</v>
      </c>
      <c r="E25" s="4">
        <f t="shared" si="6"/>
        <v>-4.6254952417058615</v>
      </c>
      <c r="F25" s="5">
        <f t="shared" si="1"/>
        <v>0.11259704441619996</v>
      </c>
      <c r="G25" s="5">
        <f t="shared" si="7"/>
        <v>0.11259704441619996</v>
      </c>
      <c r="H25" s="2">
        <f t="shared" si="8"/>
        <v>88872.785007780563</v>
      </c>
      <c r="I25" s="1">
        <f t="shared" si="2"/>
        <v>-4838519290.8529253</v>
      </c>
      <c r="J25" s="6">
        <f t="shared" si="9"/>
        <v>3949185957.5195923</v>
      </c>
      <c r="K25">
        <v>80</v>
      </c>
      <c r="L25" s="4">
        <f t="shared" si="10"/>
        <v>-4.2974417985469575E-2</v>
      </c>
      <c r="M25" s="4">
        <f t="shared" si="11"/>
        <v>-0.21692661499365196</v>
      </c>
      <c r="N25" s="4">
        <f t="shared" si="12"/>
        <v>4.2525530581767744E-2</v>
      </c>
      <c r="O25" s="5">
        <f t="shared" si="13"/>
        <v>0.22519408883239991</v>
      </c>
      <c r="P25" s="2">
        <f t="shared" si="14"/>
        <v>62842.548941935769</v>
      </c>
      <c r="Q25" s="1">
        <f t="shared" si="15"/>
        <v>-2419259645.4264627</v>
      </c>
      <c r="R25" s="6">
        <f t="shared" si="16"/>
        <v>1974592978.7597961</v>
      </c>
      <c r="S25">
        <v>80</v>
      </c>
      <c r="T25" s="4">
        <f t="shared" si="17"/>
        <v>0.11409511062010204</v>
      </c>
      <c r="U25" s="4">
        <f t="shared" si="18"/>
        <v>0.64706552656705585</v>
      </c>
      <c r="V25" s="4">
        <f t="shared" si="19"/>
        <v>0</v>
      </c>
      <c r="W25" s="5">
        <f t="shared" si="25"/>
        <v>0.6570475553100511</v>
      </c>
      <c r="X25" s="2">
        <f t="shared" si="21"/>
        <v>36790.346944940102</v>
      </c>
      <c r="Y25" s="1">
        <f t="shared" si="22"/>
        <v>-1232598147.4978652</v>
      </c>
      <c r="Z25" s="1">
        <f t="shared" si="23"/>
        <v>676764814.16453171</v>
      </c>
      <c r="AA25" s="1">
        <f t="shared" si="24"/>
        <v>-555833333.33333349</v>
      </c>
    </row>
    <row r="26" spans="1:27" x14ac:dyDescent="0.3">
      <c r="A26">
        <v>85</v>
      </c>
      <c r="B26" s="4">
        <f t="shared" si="3"/>
        <v>-4.9780305507754648E-4</v>
      </c>
      <c r="C26" s="4">
        <f t="shared" si="4"/>
        <v>-0.1027914256306775</v>
      </c>
      <c r="D26" s="4">
        <f t="shared" si="5"/>
        <v>-7.7728386134476909E-3</v>
      </c>
      <c r="E26" s="4">
        <f t="shared" si="6"/>
        <v>-4.3242878574546531</v>
      </c>
      <c r="F26" s="5">
        <f t="shared" si="1"/>
        <v>0.10308609028952186</v>
      </c>
      <c r="G26" s="5">
        <f t="shared" si="7"/>
        <v>0.10308609028952186</v>
      </c>
      <c r="H26" s="2">
        <f t="shared" si="8"/>
        <v>92882.148125466701</v>
      </c>
      <c r="I26" s="1">
        <f t="shared" si="2"/>
        <v>-5202880053.5339012</v>
      </c>
      <c r="J26" s="6">
        <f t="shared" si="9"/>
        <v>4313546720.2005682</v>
      </c>
      <c r="K26">
        <v>85</v>
      </c>
      <c r="L26" s="4">
        <f t="shared" si="10"/>
        <v>-2.162247896245997E-2</v>
      </c>
      <c r="M26" s="4">
        <f t="shared" si="11"/>
        <v>-0.20089942062211943</v>
      </c>
      <c r="N26" s="4">
        <f t="shared" si="12"/>
        <v>4.0973884877230353E-2</v>
      </c>
      <c r="O26" s="5">
        <f t="shared" si="13"/>
        <v>0.20617218057904371</v>
      </c>
      <c r="P26" s="2">
        <f t="shared" si="14"/>
        <v>65677.596790690877</v>
      </c>
      <c r="Q26" s="1">
        <f t="shared" si="15"/>
        <v>-2601440026.7669506</v>
      </c>
      <c r="R26" s="6">
        <f t="shared" si="16"/>
        <v>2156773360.1002841</v>
      </c>
      <c r="S26">
        <v>85</v>
      </c>
      <c r="T26" s="4">
        <f t="shared" si="17"/>
        <v>5.4676114325910179E-2</v>
      </c>
      <c r="U26" s="4">
        <f t="shared" si="18"/>
        <v>0.62495084645691235</v>
      </c>
      <c r="V26" s="4">
        <f t="shared" si="19"/>
        <v>0</v>
      </c>
      <c r="W26" s="5">
        <f t="shared" si="25"/>
        <v>0.62733805716295521</v>
      </c>
      <c r="X26" s="2">
        <f t="shared" si="21"/>
        <v>37651.429360315007</v>
      </c>
      <c r="Y26" s="1">
        <f t="shared" si="22"/>
        <v>-1264648399.7707288</v>
      </c>
      <c r="Z26" s="1">
        <f t="shared" si="23"/>
        <v>708815066.43739545</v>
      </c>
      <c r="AA26" s="1">
        <f t="shared" si="24"/>
        <v>-555833333.33333337</v>
      </c>
    </row>
    <row r="27" spans="1:27" x14ac:dyDescent="0.3">
      <c r="A27">
        <v>90</v>
      </c>
      <c r="B27" s="4">
        <f t="shared" si="3"/>
        <v>-8.7201340654693756E-3</v>
      </c>
      <c r="C27" s="4">
        <f t="shared" si="4"/>
        <v>-9.4367672497580712E-2</v>
      </c>
      <c r="D27" s="4">
        <f t="shared" si="5"/>
        <v>-6.6107222956031065E-3</v>
      </c>
      <c r="E27" s="4">
        <f t="shared" si="6"/>
        <v>-3.9902403981621544</v>
      </c>
      <c r="F27" s="5">
        <f t="shared" si="1"/>
        <v>9.4999999999999973E-2</v>
      </c>
      <c r="G27" s="5">
        <f t="shared" si="7"/>
        <v>9.4999999999999973E-2</v>
      </c>
      <c r="H27" s="2">
        <f t="shared" si="8"/>
        <v>96754.346200942993</v>
      </c>
      <c r="I27" s="1">
        <f t="shared" si="2"/>
        <v>-5570035087.7192993</v>
      </c>
      <c r="J27" s="6">
        <f t="shared" si="9"/>
        <v>4680701754.3859663</v>
      </c>
      <c r="K27">
        <v>90</v>
      </c>
      <c r="L27" s="4">
        <f t="shared" si="10"/>
        <v>-3.4429325894372565E-3</v>
      </c>
      <c r="M27" s="4">
        <f t="shared" si="11"/>
        <v>-0.18584804413942302</v>
      </c>
      <c r="N27" s="4">
        <f t="shared" si="12"/>
        <v>3.9352899572148992E-2</v>
      </c>
      <c r="O27" s="5">
        <f t="shared" si="13"/>
        <v>0.18999999999999995</v>
      </c>
      <c r="P27" s="2">
        <f t="shared" si="14"/>
        <v>68415.654307957666</v>
      </c>
      <c r="Q27" s="1">
        <f t="shared" si="15"/>
        <v>-2785017543.8596497</v>
      </c>
      <c r="R27" s="6">
        <f t="shared" si="16"/>
        <v>2340350877.1929832</v>
      </c>
      <c r="S27">
        <v>90</v>
      </c>
      <c r="T27" s="4">
        <f t="shared" si="17"/>
        <v>3.6754453647258606E-17</v>
      </c>
      <c r="U27" s="4">
        <f t="shared" si="18"/>
        <v>0.60000000000000009</v>
      </c>
      <c r="V27" s="4">
        <f t="shared" si="19"/>
        <v>0</v>
      </c>
      <c r="W27" s="5">
        <f t="shared" si="25"/>
        <v>0.60000000000000009</v>
      </c>
      <c r="X27" s="2">
        <f t="shared" si="21"/>
        <v>38499.63924794909</v>
      </c>
      <c r="Y27" s="1">
        <f t="shared" si="22"/>
        <v>-1296944444.4444442</v>
      </c>
      <c r="Z27" s="1">
        <f t="shared" si="23"/>
        <v>741111111.11111093</v>
      </c>
      <c r="AA27" s="1">
        <f t="shared" si="24"/>
        <v>-555833333.33333325</v>
      </c>
    </row>
    <row r="28" spans="1:27" x14ac:dyDescent="0.3">
      <c r="A28">
        <v>95</v>
      </c>
      <c r="B28" s="4">
        <f t="shared" si="3"/>
        <v>-1.5684826882627262E-2</v>
      </c>
      <c r="C28" s="4">
        <f t="shared" si="4"/>
        <v>-8.6503362789386667E-2</v>
      </c>
      <c r="D28" s="4">
        <f t="shared" si="5"/>
        <v>-5.5710064734371782E-3</v>
      </c>
      <c r="E28" s="4">
        <f t="shared" si="6"/>
        <v>-3.6259237674226967</v>
      </c>
      <c r="F28" s="5">
        <f t="shared" si="1"/>
        <v>8.8090190607906571E-2</v>
      </c>
      <c r="G28" s="5">
        <f t="shared" si="7"/>
        <v>8.8090190607906585E-2</v>
      </c>
      <c r="H28" s="2">
        <f t="shared" si="8"/>
        <v>100477.42819729578</v>
      </c>
      <c r="I28" s="1">
        <f t="shared" si="2"/>
        <v>-5937190121.9046974</v>
      </c>
      <c r="J28" s="6">
        <f t="shared" si="9"/>
        <v>5047856788.5713644</v>
      </c>
      <c r="K28">
        <v>95</v>
      </c>
      <c r="L28" s="4">
        <f t="shared" si="10"/>
        <v>1.2116338086123661E-2</v>
      </c>
      <c r="M28" s="4">
        <f t="shared" si="11"/>
        <v>-0.17167464791725962</v>
      </c>
      <c r="N28" s="4">
        <f t="shared" si="12"/>
        <v>3.7690003173480341E-2</v>
      </c>
      <c r="O28" s="5">
        <f t="shared" si="13"/>
        <v>0.17618038121581317</v>
      </c>
      <c r="P28" s="2">
        <f t="shared" si="14"/>
        <v>71048.270834492272</v>
      </c>
      <c r="Q28" s="1">
        <f t="shared" si="15"/>
        <v>-2968595060.9523487</v>
      </c>
      <c r="R28" s="6">
        <f t="shared" si="16"/>
        <v>2523928394.2856822</v>
      </c>
      <c r="S28">
        <v>95</v>
      </c>
      <c r="T28" s="4">
        <f t="shared" si="17"/>
        <v>-5.0109768598056499E-2</v>
      </c>
      <c r="U28" s="4">
        <f t="shared" si="18"/>
        <v>0.57275727595505332</v>
      </c>
      <c r="V28" s="4">
        <f t="shared" si="19"/>
        <v>0</v>
      </c>
      <c r="W28" s="5">
        <f t="shared" si="25"/>
        <v>0.57494511570097184</v>
      </c>
      <c r="X28" s="2">
        <f t="shared" si="21"/>
        <v>39329.560276840792</v>
      </c>
      <c r="Y28" s="1">
        <f t="shared" si="22"/>
        <v>-1329240489.1181598</v>
      </c>
      <c r="Z28" s="1">
        <f t="shared" si="23"/>
        <v>773407155.78482652</v>
      </c>
      <c r="AA28" s="1">
        <f t="shared" si="24"/>
        <v>-555833333.33333325</v>
      </c>
    </row>
    <row r="29" spans="1:27" x14ac:dyDescent="0.3">
      <c r="A29">
        <v>100</v>
      </c>
      <c r="B29" s="4">
        <f t="shared" si="3"/>
        <v>-2.1604934402305022E-2</v>
      </c>
      <c r="C29" s="4">
        <f t="shared" si="4"/>
        <v>-7.913263271858885E-2</v>
      </c>
      <c r="D29" s="4">
        <f t="shared" si="5"/>
        <v>-4.6351506245838059E-3</v>
      </c>
      <c r="E29" s="4">
        <f t="shared" si="6"/>
        <v>-3.2341324533570983</v>
      </c>
      <c r="F29" s="5">
        <f t="shared" si="1"/>
        <v>8.2159791703822871E-2</v>
      </c>
      <c r="G29" s="5">
        <f t="shared" si="7"/>
        <v>8.2159791703822885E-2</v>
      </c>
      <c r="H29" s="2">
        <f t="shared" si="8"/>
        <v>104040.54547389052</v>
      </c>
      <c r="I29" s="1">
        <f t="shared" si="2"/>
        <v>-6301550884.5856733</v>
      </c>
      <c r="J29" s="6">
        <f t="shared" si="9"/>
        <v>5412217551.2523403</v>
      </c>
      <c r="K29">
        <v>100</v>
      </c>
      <c r="L29" s="4">
        <f t="shared" si="10"/>
        <v>2.5492867199208003E-2</v>
      </c>
      <c r="M29" s="4">
        <f t="shared" si="11"/>
        <v>-0.15828697454095506</v>
      </c>
      <c r="N29" s="4">
        <f t="shared" si="12"/>
        <v>3.6003790132385284E-2</v>
      </c>
      <c r="O29" s="5">
        <f t="shared" si="13"/>
        <v>0.16431958340764577</v>
      </c>
      <c r="P29" s="2">
        <f t="shared" si="14"/>
        <v>73567.77522293535</v>
      </c>
      <c r="Q29" s="1">
        <f t="shared" si="15"/>
        <v>-3150775442.2928367</v>
      </c>
      <c r="R29" s="6">
        <f t="shared" si="16"/>
        <v>2706108775.6261702</v>
      </c>
      <c r="S29">
        <v>100</v>
      </c>
      <c r="T29" s="4">
        <f t="shared" si="17"/>
        <v>-9.5865474155977376E-2</v>
      </c>
      <c r="U29" s="4">
        <f t="shared" si="18"/>
        <v>0.54368012070982596</v>
      </c>
      <c r="V29" s="4">
        <f t="shared" si="19"/>
        <v>0</v>
      </c>
      <c r="W29" s="5">
        <f t="shared" si="25"/>
        <v>0.55206726292201147</v>
      </c>
      <c r="X29" s="2">
        <f t="shared" si="21"/>
        <v>40136.203309672681</v>
      </c>
      <c r="Y29" s="1">
        <f t="shared" si="22"/>
        <v>-1361290741.3910236</v>
      </c>
      <c r="Z29" s="1">
        <f t="shared" si="23"/>
        <v>805457408.05769014</v>
      </c>
      <c r="AA29" s="1">
        <f t="shared" si="24"/>
        <v>-555833333.33333349</v>
      </c>
    </row>
    <row r="30" spans="1:27" x14ac:dyDescent="0.3">
      <c r="A30">
        <v>105</v>
      </c>
      <c r="B30" s="4">
        <f t="shared" si="3"/>
        <v>-2.6649842978660659E-2</v>
      </c>
      <c r="C30" s="4">
        <f t="shared" si="4"/>
        <v>-7.2197049212855413E-2</v>
      </c>
      <c r="D30" s="4">
        <f t="shared" si="5"/>
        <v>-3.7879534723952073E-3</v>
      </c>
      <c r="E30" s="4">
        <f t="shared" si="6"/>
        <v>-2.8178617938668449</v>
      </c>
      <c r="F30" s="5">
        <f t="shared" si="1"/>
        <v>7.7051778936892606E-2</v>
      </c>
      <c r="G30" s="5">
        <f t="shared" si="7"/>
        <v>7.7051778936892606E-2</v>
      </c>
      <c r="H30" s="2">
        <f t="shared" si="8"/>
        <v>107433.80321870625</v>
      </c>
      <c r="I30" s="1">
        <f t="shared" si="2"/>
        <v>-6660344370.351182</v>
      </c>
      <c r="J30" s="6">
        <f t="shared" si="9"/>
        <v>5771011037.017849</v>
      </c>
      <c r="K30">
        <v>105</v>
      </c>
      <c r="L30" s="4">
        <f t="shared" si="10"/>
        <v>3.7035848369408361E-2</v>
      </c>
      <c r="M30" s="4">
        <f t="shared" si="11"/>
        <v>-0.14559981988485252</v>
      </c>
      <c r="N30" s="4">
        <f t="shared" si="12"/>
        <v>3.430663105604756E-2</v>
      </c>
      <c r="O30" s="5">
        <f t="shared" si="13"/>
        <v>0.15410355787378521</v>
      </c>
      <c r="P30" s="2">
        <f t="shared" si="14"/>
        <v>75967.17078460833</v>
      </c>
      <c r="Q30" s="1">
        <f t="shared" si="15"/>
        <v>-3330172185.175591</v>
      </c>
      <c r="R30" s="6">
        <f t="shared" si="16"/>
        <v>2885505518.5089245</v>
      </c>
      <c r="S30">
        <v>105</v>
      </c>
      <c r="T30" s="4">
        <f t="shared" si="17"/>
        <v>-0.13749789067717405</v>
      </c>
      <c r="U30" s="4">
        <f t="shared" si="18"/>
        <v>0.51314911394076446</v>
      </c>
      <c r="V30" s="4">
        <f t="shared" si="19"/>
        <v>0</v>
      </c>
      <c r="W30" s="5">
        <f t="shared" si="25"/>
        <v>0.53125105466141309</v>
      </c>
      <c r="X30" s="2">
        <f t="shared" si="21"/>
        <v>40914.983713975351</v>
      </c>
      <c r="Y30" s="1">
        <f t="shared" si="22"/>
        <v>-1392851279.4907675</v>
      </c>
      <c r="Z30" s="1">
        <f t="shared" si="23"/>
        <v>837017946.15743411</v>
      </c>
      <c r="AA30" s="1">
        <f t="shared" si="24"/>
        <v>-555833333.33333337</v>
      </c>
    </row>
    <row r="31" spans="1:27" x14ac:dyDescent="0.3">
      <c r="A31">
        <v>110</v>
      </c>
      <c r="B31" s="4">
        <f t="shared" si="3"/>
        <v>-3.0955122373059495E-2</v>
      </c>
      <c r="C31" s="4">
        <f t="shared" si="4"/>
        <v>-6.5644943268464304E-2</v>
      </c>
      <c r="D31" s="4">
        <f t="shared" si="5"/>
        <v>-3.0168763933821575E-3</v>
      </c>
      <c r="E31" s="4">
        <f t="shared" si="6"/>
        <v>-2.3802842787337579</v>
      </c>
      <c r="F31" s="5">
        <f t="shared" si="1"/>
        <v>7.2640069665604892E-2</v>
      </c>
      <c r="G31" s="5">
        <f t="shared" si="7"/>
        <v>7.2640069665604892E-2</v>
      </c>
      <c r="H31" s="2">
        <f t="shared" si="8"/>
        <v>110648.15055657987</v>
      </c>
      <c r="I31" s="1">
        <f t="shared" si="2"/>
        <v>-7010839944.129117</v>
      </c>
      <c r="J31" s="6">
        <f t="shared" si="9"/>
        <v>6121506610.795784</v>
      </c>
      <c r="K31">
        <v>110</v>
      </c>
      <c r="L31" s="4">
        <f t="shared" si="10"/>
        <v>4.7025839785000245E-2</v>
      </c>
      <c r="M31" s="4">
        <f t="shared" si="11"/>
        <v>-0.13353541428559809</v>
      </c>
      <c r="N31" s="4">
        <f t="shared" si="12"/>
        <v>3.2606478009513815E-2</v>
      </c>
      <c r="O31" s="5">
        <f t="shared" si="13"/>
        <v>0.14528013933120978</v>
      </c>
      <c r="P31" s="2">
        <f t="shared" si="14"/>
        <v>78240.057584307695</v>
      </c>
      <c r="Q31" s="1">
        <f t="shared" si="15"/>
        <v>-3505419972.0645585</v>
      </c>
      <c r="R31" s="6">
        <f t="shared" si="16"/>
        <v>3060753305.397892</v>
      </c>
      <c r="S31">
        <v>110</v>
      </c>
      <c r="T31" s="4">
        <f t="shared" si="17"/>
        <v>-0.17524365585003046</v>
      </c>
      <c r="U31" s="4">
        <f t="shared" si="18"/>
        <v>0.48147798735063563</v>
      </c>
      <c r="V31" s="4">
        <f t="shared" si="19"/>
        <v>0</v>
      </c>
      <c r="W31" s="5">
        <f t="shared" si="25"/>
        <v>0.51237817207498482</v>
      </c>
      <c r="X31" s="2">
        <f t="shared" si="21"/>
        <v>41661.698845158608</v>
      </c>
      <c r="Y31" s="1">
        <f t="shared" si="22"/>
        <v>-1423681908.6656785</v>
      </c>
      <c r="Z31" s="1">
        <f t="shared" si="23"/>
        <v>867848575.33234501</v>
      </c>
      <c r="AA31" s="1">
        <f t="shared" si="24"/>
        <v>-555833333.33333349</v>
      </c>
    </row>
    <row r="32" spans="1:27" x14ac:dyDescent="0.3">
      <c r="A32">
        <v>115</v>
      </c>
      <c r="B32" s="4">
        <f t="shared" si="3"/>
        <v>-3.4629935314707976E-2</v>
      </c>
      <c r="C32" s="4">
        <f t="shared" si="4"/>
        <v>-5.9430655275387018E-2</v>
      </c>
      <c r="D32" s="4">
        <f t="shared" si="5"/>
        <v>-2.3115152309456451E-3</v>
      </c>
      <c r="E32" s="4">
        <f t="shared" si="6"/>
        <v>-1.9247251260264318</v>
      </c>
      <c r="F32" s="5">
        <f t="shared" si="1"/>
        <v>6.8822803699251006E-2</v>
      </c>
      <c r="G32" s="5">
        <f t="shared" si="7"/>
        <v>6.882280369925102E-2</v>
      </c>
      <c r="H32" s="2">
        <f t="shared" si="8"/>
        <v>113675.2988967672</v>
      </c>
      <c r="I32" s="1">
        <f t="shared" si="2"/>
        <v>-7350370122.9680138</v>
      </c>
      <c r="J32" s="6">
        <f t="shared" si="9"/>
        <v>6461036789.6346807</v>
      </c>
      <c r="K32">
        <v>115</v>
      </c>
      <c r="L32" s="4">
        <f t="shared" si="10"/>
        <v>5.5689642920622791E-2</v>
      </c>
      <c r="M32" s="4">
        <f t="shared" si="11"/>
        <v>-0.12202321463437682</v>
      </c>
      <c r="N32" s="4">
        <f t="shared" si="12"/>
        <v>3.0908121873852133E-2</v>
      </c>
      <c r="O32" s="5">
        <f t="shared" si="13"/>
        <v>0.13764560739850204</v>
      </c>
      <c r="P32" s="2">
        <f t="shared" si="14"/>
        <v>80380.574703311751</v>
      </c>
      <c r="Q32" s="1">
        <f t="shared" si="15"/>
        <v>-3675185061.4840069</v>
      </c>
      <c r="R32" s="6">
        <f t="shared" si="16"/>
        <v>3230518394.8173404</v>
      </c>
      <c r="S32">
        <v>115</v>
      </c>
      <c r="T32" s="4">
        <f t="shared" si="17"/>
        <v>-0.20933628797318143</v>
      </c>
      <c r="U32" s="4">
        <f t="shared" si="18"/>
        <v>0.44892311827226966</v>
      </c>
      <c r="V32" s="4">
        <f t="shared" si="19"/>
        <v>0</v>
      </c>
      <c r="W32" s="5">
        <f t="shared" si="25"/>
        <v>0.4953318560134094</v>
      </c>
      <c r="X32" s="2">
        <f t="shared" si="21"/>
        <v>42372.506555037762</v>
      </c>
      <c r="Y32" s="1">
        <f t="shared" si="22"/>
        <v>-1453547989.2116923</v>
      </c>
      <c r="Z32" s="1">
        <f t="shared" si="23"/>
        <v>897714655.87835908</v>
      </c>
      <c r="AA32" s="1">
        <f t="shared" si="24"/>
        <v>-555833333.33333325</v>
      </c>
    </row>
    <row r="33" spans="1:27" x14ac:dyDescent="0.3">
      <c r="A33">
        <v>120</v>
      </c>
      <c r="B33" s="4">
        <f t="shared" si="3"/>
        <v>-3.7762647223587131E-2</v>
      </c>
      <c r="C33" s="4">
        <f t="shared" si="4"/>
        <v>-5.3513785159533832E-2</v>
      </c>
      <c r="D33" s="4">
        <f t="shared" si="5"/>
        <v>-1.6631868569038015E-3</v>
      </c>
      <c r="E33" s="4">
        <f t="shared" si="6"/>
        <v>-1.4546373335939375</v>
      </c>
      <c r="F33" s="5">
        <f t="shared" si="1"/>
        <v>6.5517241379310337E-2</v>
      </c>
      <c r="G33" s="5">
        <f t="shared" si="7"/>
        <v>6.5517241379310337E-2</v>
      </c>
      <c r="H33" s="2">
        <f t="shared" si="8"/>
        <v>116507.66106878679</v>
      </c>
      <c r="I33" s="1">
        <f t="shared" si="2"/>
        <v>-7676350877.1929827</v>
      </c>
      <c r="J33" s="6">
        <f t="shared" si="9"/>
        <v>6787017543.8596497</v>
      </c>
      <c r="K33">
        <v>120</v>
      </c>
      <c r="L33" s="4">
        <f t="shared" si="10"/>
        <v>6.3211606367410883E-2</v>
      </c>
      <c r="M33" s="4">
        <f t="shared" si="11"/>
        <v>-0.11099939825406349</v>
      </c>
      <c r="N33" s="4">
        <f t="shared" si="12"/>
        <v>2.9214073312473325E-2</v>
      </c>
      <c r="O33" s="5">
        <f t="shared" si="13"/>
        <v>0.13103448275862067</v>
      </c>
      <c r="P33" s="2">
        <f t="shared" si="14"/>
        <v>82383.357201923063</v>
      </c>
      <c r="Q33" s="1">
        <f t="shared" si="15"/>
        <v>-3838175438.5964913</v>
      </c>
      <c r="R33" s="6">
        <f t="shared" si="16"/>
        <v>3393508771.9298248</v>
      </c>
      <c r="S33">
        <v>120</v>
      </c>
      <c r="T33" s="4">
        <f t="shared" si="17"/>
        <v>-0.23999999999999994</v>
      </c>
      <c r="U33" s="4">
        <f t="shared" si="18"/>
        <v>0.41569219381653066</v>
      </c>
      <c r="V33" s="4">
        <f t="shared" si="19"/>
        <v>0</v>
      </c>
      <c r="W33" s="5">
        <f t="shared" si="25"/>
        <v>0.48000000000000009</v>
      </c>
      <c r="X33" s="2">
        <f t="shared" si="21"/>
        <v>43043.90523381652</v>
      </c>
      <c r="Y33" s="1">
        <f t="shared" si="22"/>
        <v>-1482222222.2222219</v>
      </c>
      <c r="Z33" s="1">
        <f t="shared" si="23"/>
        <v>926388888.8888886</v>
      </c>
      <c r="AA33" s="1">
        <f t="shared" si="24"/>
        <v>-555833333.33333325</v>
      </c>
    </row>
    <row r="34" spans="1:27" x14ac:dyDescent="0.3">
      <c r="A34">
        <v>125</v>
      </c>
      <c r="B34" s="4">
        <f t="shared" si="3"/>
        <v>-4.042510103072218E-2</v>
      </c>
      <c r="C34" s="4">
        <f t="shared" si="4"/>
        <v>-4.7858491872315431E-2</v>
      </c>
      <c r="D34" s="4">
        <f t="shared" si="5"/>
        <v>-1.0646043145491352E-3</v>
      </c>
      <c r="E34" s="4">
        <f t="shared" ref="E34:E81" si="26">DEGREES(ASIN(D34/G34))</f>
        <v>-0.97357636796363278</v>
      </c>
      <c r="F34" s="5">
        <f t="shared" ref="F34:F81" si="27">SQRT(B34^2+C34^2+D34^2)</f>
        <v>6.2655865008657691E-2</v>
      </c>
      <c r="G34" s="5">
        <f t="shared" ref="G34:G81" si="28">E$3/(1-B$6*COS(RADIANS(A34)))</f>
        <v>6.2655865008657691E-2</v>
      </c>
      <c r="H34" s="2">
        <f t="shared" ref="H34:H81" si="29">SQRT(0.0000000000667*2E+30/(G34*150000000000))</f>
        <v>119138.30587261579</v>
      </c>
      <c r="I34" s="1">
        <f t="shared" ref="I34:I81" si="30">E$4-J34</f>
        <v>-7986301296.4318113</v>
      </c>
      <c r="J34" s="6">
        <f t="shared" ref="J34:J81" si="31">0.0000000000667*2E+30/(2*G34*150000000000)</f>
        <v>7096967963.0984783</v>
      </c>
      <c r="K34">
        <v>125</v>
      </c>
      <c r="L34" s="4">
        <f t="shared" si="10"/>
        <v>6.9742268173459701E-2</v>
      </c>
      <c r="M34" s="4">
        <f t="shared" si="11"/>
        <v>-0.10040622502193217</v>
      </c>
      <c r="N34" s="4">
        <f t="shared" si="12"/>
        <v>2.7525182775031562E-2</v>
      </c>
      <c r="O34" s="5">
        <f t="shared" si="13"/>
        <v>0.12531173001731538</v>
      </c>
      <c r="P34" s="2">
        <f t="shared" si="14"/>
        <v>84243.503981603702</v>
      </c>
      <c r="Q34" s="1">
        <f t="shared" si="15"/>
        <v>-3993150648.2159057</v>
      </c>
      <c r="R34" s="6">
        <f t="shared" si="16"/>
        <v>3548483981.5492392</v>
      </c>
      <c r="S34">
        <v>125</v>
      </c>
      <c r="T34" s="4">
        <f t="shared" si="17"/>
        <v>-0.26744561144535201</v>
      </c>
      <c r="U34" s="4">
        <f t="shared" si="18"/>
        <v>0.38195191689760538</v>
      </c>
      <c r="V34" s="4">
        <f t="shared" si="19"/>
        <v>0</v>
      </c>
      <c r="W34" s="5">
        <f t="shared" si="25"/>
        <v>0.46627719427732411</v>
      </c>
      <c r="X34" s="2">
        <f t="shared" si="21"/>
        <v>43672.715650317616</v>
      </c>
      <c r="Y34" s="1">
        <f t="shared" si="22"/>
        <v>-1509486379.4700818</v>
      </c>
      <c r="Z34" s="1">
        <f t="shared" si="23"/>
        <v>953653046.13674855</v>
      </c>
      <c r="AA34" s="1">
        <f t="shared" si="24"/>
        <v>-555833333.33333325</v>
      </c>
    </row>
    <row r="35" spans="1:27" x14ac:dyDescent="0.3">
      <c r="A35">
        <v>130</v>
      </c>
      <c r="B35" s="4">
        <f t="shared" si="3"/>
        <v>-4.2675895250244233E-2</v>
      </c>
      <c r="C35" s="4">
        <f t="shared" si="4"/>
        <v>-4.2432860400994421E-2</v>
      </c>
      <c r="D35" s="4">
        <f t="shared" si="5"/>
        <v>-5.0962043290336866E-4</v>
      </c>
      <c r="E35" s="4">
        <f t="shared" si="26"/>
        <v>-0.48517461571165515</v>
      </c>
      <c r="F35" s="5">
        <f t="shared" si="27"/>
        <v>6.018338134573141E-2</v>
      </c>
      <c r="G35" s="5">
        <f t="shared" si="28"/>
        <v>6.0183381345731417E-2</v>
      </c>
      <c r="H35" s="2">
        <f t="shared" si="29"/>
        <v>121560.92412866544</v>
      </c>
      <c r="I35" s="1">
        <f t="shared" si="30"/>
        <v>-8277862470.8409119</v>
      </c>
      <c r="J35" s="6">
        <f t="shared" si="31"/>
        <v>7388529137.5075788</v>
      </c>
      <c r="K35">
        <v>130</v>
      </c>
      <c r="L35" s="4">
        <f t="shared" si="10"/>
        <v>7.5405004149693283E-2</v>
      </c>
      <c r="M35" s="4">
        <f t="shared" si="11"/>
        <v>-9.0191361038724119E-2</v>
      </c>
      <c r="N35" s="4">
        <f t="shared" si="12"/>
        <v>2.5841077841107674E-2</v>
      </c>
      <c r="O35" s="5">
        <f t="shared" si="13"/>
        <v>0.12036676269146283</v>
      </c>
      <c r="P35" s="2">
        <f t="shared" si="14"/>
        <v>85956.553778682748</v>
      </c>
      <c r="Q35" s="1">
        <f t="shared" si="15"/>
        <v>-4138931235.4204559</v>
      </c>
      <c r="R35" s="6">
        <f t="shared" si="16"/>
        <v>3694264568.7537894</v>
      </c>
      <c r="S35">
        <v>130</v>
      </c>
      <c r="T35" s="4">
        <f t="shared" si="17"/>
        <v>-0.29186799907667815</v>
      </c>
      <c r="U35" s="4">
        <f t="shared" si="18"/>
        <v>0.34783473646291474</v>
      </c>
      <c r="V35" s="4">
        <f t="shared" si="19"/>
        <v>0</v>
      </c>
      <c r="W35" s="5">
        <f t="shared" si="25"/>
        <v>0.45406600046166101</v>
      </c>
      <c r="X35" s="2">
        <f t="shared" si="21"/>
        <v>44256.064690000043</v>
      </c>
      <c r="Y35" s="1">
        <f t="shared" ref="Y35:Y81" si="32">W$4-Z35</f>
        <v>-1535132964.2560678</v>
      </c>
      <c r="Z35" s="1">
        <f t="shared" ref="Z35:Z81" si="33">X35^2/2</f>
        <v>979299630.92273426</v>
      </c>
      <c r="AA35" s="1">
        <f t="shared" ref="AA35:AA81" si="34">SUM(Y35:Z35)</f>
        <v>-555833333.33333349</v>
      </c>
    </row>
    <row r="36" spans="1:27" x14ac:dyDescent="0.3">
      <c r="A36">
        <v>135</v>
      </c>
      <c r="B36" s="4">
        <f t="shared" si="3"/>
        <v>-4.4562912187721751E-2</v>
      </c>
      <c r="C36" s="4">
        <f t="shared" si="4"/>
        <v>-3.7208340449832927E-2</v>
      </c>
      <c r="D36" s="4">
        <f t="shared" si="5"/>
        <v>6.9754625723747118E-6</v>
      </c>
      <c r="E36" s="4">
        <f t="shared" si="26"/>
        <v>6.8843109386484639E-3</v>
      </c>
      <c r="F36" s="5">
        <f t="shared" si="27"/>
        <v>5.8054403711849036E-2</v>
      </c>
      <c r="G36" s="5">
        <f t="shared" si="28"/>
        <v>5.8054403711849036E-2</v>
      </c>
      <c r="H36" s="2">
        <f t="shared" si="29"/>
        <v>123769.80334879945</v>
      </c>
      <c r="I36" s="1">
        <f t="shared" si="30"/>
        <v>-8548815443.8335772</v>
      </c>
      <c r="J36" s="6">
        <f t="shared" si="31"/>
        <v>7659482110.5002441</v>
      </c>
      <c r="K36">
        <v>135</v>
      </c>
      <c r="L36" s="4">
        <f t="shared" si="10"/>
        <v>8.0301171451709938E-2</v>
      </c>
      <c r="M36" s="4">
        <f t="shared" si="11"/>
        <v>-8.0307214148743658E-2</v>
      </c>
      <c r="N36" s="4">
        <f t="shared" si="12"/>
        <v>2.4160471446234608E-2</v>
      </c>
      <c r="O36" s="5">
        <f t="shared" si="13"/>
        <v>0.11610880742369807</v>
      </c>
      <c r="P36" s="2">
        <f t="shared" si="14"/>
        <v>87518.467254061557</v>
      </c>
      <c r="Q36" s="1">
        <f t="shared" si="15"/>
        <v>-4274407721.9167886</v>
      </c>
      <c r="R36" s="6">
        <f t="shared" si="16"/>
        <v>3829741055.2501221</v>
      </c>
      <c r="S36">
        <v>135</v>
      </c>
      <c r="T36" s="4">
        <f t="shared" si="17"/>
        <v>-0.31344464995648974</v>
      </c>
      <c r="U36" s="4">
        <f t="shared" si="18"/>
        <v>0.3134446499564898</v>
      </c>
      <c r="V36" s="4">
        <f t="shared" si="19"/>
        <v>0</v>
      </c>
      <c r="W36" s="5">
        <f t="shared" si="25"/>
        <v>0.44327767502175519</v>
      </c>
      <c r="X36" s="2">
        <f t="shared" si="21"/>
        <v>44791.370982607637</v>
      </c>
      <c r="Y36" s="1">
        <f t="shared" si="32"/>
        <v>-1558966790.584126</v>
      </c>
      <c r="Z36" s="1">
        <f t="shared" si="33"/>
        <v>1003133457.2507927</v>
      </c>
      <c r="AA36" s="1">
        <f t="shared" si="34"/>
        <v>-555833333.33333325</v>
      </c>
    </row>
    <row r="37" spans="1:27" x14ac:dyDescent="0.3">
      <c r="A37">
        <v>140</v>
      </c>
      <c r="B37" s="4">
        <f t="shared" si="3"/>
        <v>-4.6125277389079553E-2</v>
      </c>
      <c r="C37" s="4">
        <f t="shared" si="4"/>
        <v>-3.2159253819311458E-2</v>
      </c>
      <c r="D37" s="4">
        <f t="shared" si="5"/>
        <v>4.8961947793455538E-4</v>
      </c>
      <c r="E37" s="4">
        <f t="shared" si="26"/>
        <v>0.49889134960509274</v>
      </c>
      <c r="F37" s="5">
        <f t="shared" si="27"/>
        <v>5.6231650764205783E-2</v>
      </c>
      <c r="G37" s="5">
        <f t="shared" si="28"/>
        <v>5.6231650764205783E-2</v>
      </c>
      <c r="H37" s="2">
        <f t="shared" si="29"/>
        <v>125759.80889255618</v>
      </c>
      <c r="I37" s="1">
        <f t="shared" si="30"/>
        <v>-8797098099.6794586</v>
      </c>
      <c r="J37" s="6">
        <f t="shared" si="31"/>
        <v>7907764766.3461256</v>
      </c>
      <c r="K37">
        <v>140</v>
      </c>
      <c r="L37" s="4">
        <f t="shared" si="10"/>
        <v>8.4514107699307742E-2</v>
      </c>
      <c r="M37" s="4">
        <f t="shared" si="11"/>
        <v>-7.0710306457553954E-2</v>
      </c>
      <c r="N37" s="4">
        <f t="shared" si="12"/>
        <v>2.2481377874566243E-2</v>
      </c>
      <c r="O37" s="5">
        <f t="shared" si="13"/>
        <v>0.11246330152841157</v>
      </c>
      <c r="P37" s="2">
        <f t="shared" si="14"/>
        <v>88925.613668650753</v>
      </c>
      <c r="Q37" s="1">
        <f t="shared" si="15"/>
        <v>-4398549049.8397293</v>
      </c>
      <c r="R37" s="6">
        <f t="shared" si="16"/>
        <v>3953882383.1730628</v>
      </c>
      <c r="S37">
        <v>140</v>
      </c>
      <c r="T37" s="4">
        <f t="shared" si="17"/>
        <v>-0.33233498255227895</v>
      </c>
      <c r="U37" s="4">
        <f t="shared" si="18"/>
        <v>0.27886216128692515</v>
      </c>
      <c r="V37" s="4">
        <f t="shared" si="19"/>
        <v>0</v>
      </c>
      <c r="W37" s="5">
        <f t="shared" si="25"/>
        <v>0.43383250872386064</v>
      </c>
      <c r="X37" s="2">
        <f t="shared" si="21"/>
        <v>45276.332345085328</v>
      </c>
      <c r="Y37" s="1">
        <f t="shared" si="32"/>
        <v>-1580806468.6446433</v>
      </c>
      <c r="Z37" s="1">
        <f t="shared" si="33"/>
        <v>1024973135.3113099</v>
      </c>
      <c r="AA37" s="1">
        <f t="shared" si="34"/>
        <v>-555833333.33333337</v>
      </c>
    </row>
    <row r="38" spans="1:27" x14ac:dyDescent="0.3">
      <c r="A38">
        <v>145</v>
      </c>
      <c r="B38" s="4">
        <f t="shared" si="3"/>
        <v>-4.7394883849367124E-2</v>
      </c>
      <c r="C38" s="4">
        <f t="shared" si="4"/>
        <v>-2.7262364212263974E-2</v>
      </c>
      <c r="D38" s="4">
        <f t="shared" si="5"/>
        <v>9.4210267884550086E-4</v>
      </c>
      <c r="E38" s="4">
        <f t="shared" si="26"/>
        <v>0.98713779866243623</v>
      </c>
      <c r="F38" s="5">
        <f t="shared" si="27"/>
        <v>5.4684541462781053E-2</v>
      </c>
      <c r="G38" s="5">
        <f t="shared" si="28"/>
        <v>5.4684541462781053E-2</v>
      </c>
      <c r="H38" s="2">
        <f t="shared" si="29"/>
        <v>127526.37001120253</v>
      </c>
      <c r="I38" s="1">
        <f t="shared" si="30"/>
        <v>-9020820857.4504013</v>
      </c>
      <c r="J38" s="6">
        <f t="shared" si="31"/>
        <v>8131487524.1170683</v>
      </c>
      <c r="K38">
        <v>145</v>
      </c>
      <c r="L38" s="4">
        <f t="shared" si="10"/>
        <v>8.8112252134202859E-2</v>
      </c>
      <c r="M38" s="4">
        <f t="shared" si="11"/>
        <v>-6.1360694416822854E-2</v>
      </c>
      <c r="N38" s="4">
        <f t="shared" si="12"/>
        <v>2.0801262089172191E-2</v>
      </c>
      <c r="O38" s="5">
        <f t="shared" si="13"/>
        <v>0.10936908292556211</v>
      </c>
      <c r="P38" s="2">
        <f t="shared" si="14"/>
        <v>90174.761015026088</v>
      </c>
      <c r="Q38" s="1">
        <f t="shared" si="15"/>
        <v>-4510410428.7252007</v>
      </c>
      <c r="R38" s="6">
        <f t="shared" si="16"/>
        <v>4065743762.0585341</v>
      </c>
      <c r="S38">
        <v>145</v>
      </c>
      <c r="T38" s="4">
        <f t="shared" si="17"/>
        <v>-0.34868018386525329</v>
      </c>
      <c r="U38" s="4">
        <f t="shared" si="18"/>
        <v>0.24414849316679788</v>
      </c>
      <c r="V38" s="4">
        <f t="shared" si="19"/>
        <v>0</v>
      </c>
      <c r="W38" s="5">
        <f t="shared" si="25"/>
        <v>0.42565990806737342</v>
      </c>
      <c r="X38" s="2">
        <f t="shared" si="21"/>
        <v>45708.914928426981</v>
      </c>
      <c r="Y38" s="1">
        <f t="shared" si="32"/>
        <v>-1600485785.3004208</v>
      </c>
      <c r="Z38" s="1">
        <f t="shared" si="33"/>
        <v>1044652451.9670874</v>
      </c>
      <c r="AA38" s="1">
        <f t="shared" si="34"/>
        <v>-555833333.33333337</v>
      </c>
    </row>
    <row r="39" spans="1:27" x14ac:dyDescent="0.3">
      <c r="A39">
        <v>150</v>
      </c>
      <c r="B39" s="4">
        <f t="shared" si="3"/>
        <v>-4.8397579886121152E-2</v>
      </c>
      <c r="C39" s="4">
        <f t="shared" si="4"/>
        <v>-2.2496501977147431E-2</v>
      </c>
      <c r="D39" s="4">
        <f t="shared" si="5"/>
        <v>1.3676750729837578E-3</v>
      </c>
      <c r="E39" s="4">
        <f t="shared" si="26"/>
        <v>1.4679411276787533</v>
      </c>
      <c r="F39" s="5">
        <f t="shared" si="27"/>
        <v>5.3388096755236904E-2</v>
      </c>
      <c r="G39" s="5">
        <f t="shared" si="28"/>
        <v>5.3388096755236911E-2</v>
      </c>
      <c r="H39" s="2">
        <f t="shared" si="29"/>
        <v>129065.46957679222</v>
      </c>
      <c r="I39" s="1">
        <f t="shared" si="30"/>
        <v>-9218281051.8722744</v>
      </c>
      <c r="J39" s="6">
        <f t="shared" si="31"/>
        <v>8328947718.5389404</v>
      </c>
      <c r="K39">
        <v>150</v>
      </c>
      <c r="L39" s="4">
        <f t="shared" si="10"/>
        <v>9.1151586852579528E-2</v>
      </c>
      <c r="M39" s="4">
        <f t="shared" si="11"/>
        <v>-5.2221438748879266E-2</v>
      </c>
      <c r="N39" s="4">
        <f t="shared" si="12"/>
        <v>1.9117140210812247E-2</v>
      </c>
      <c r="O39" s="5">
        <f t="shared" si="13"/>
        <v>0.10677619351047382</v>
      </c>
      <c r="P39" s="2">
        <f t="shared" si="14"/>
        <v>91263.068754775828</v>
      </c>
      <c r="Q39" s="1">
        <f t="shared" si="15"/>
        <v>-4609140525.9361372</v>
      </c>
      <c r="R39" s="6">
        <f t="shared" si="16"/>
        <v>4164473859.2694702</v>
      </c>
      <c r="S39">
        <v>150</v>
      </c>
      <c r="T39" s="4">
        <f t="shared" si="17"/>
        <v>-0.36260337510235474</v>
      </c>
      <c r="U39" s="4">
        <f t="shared" si="18"/>
        <v>0.2093491562244113</v>
      </c>
      <c r="V39" s="4">
        <f t="shared" si="19"/>
        <v>0</v>
      </c>
      <c r="W39" s="5">
        <f t="shared" si="25"/>
        <v>0.41869831244882266</v>
      </c>
      <c r="X39" s="2">
        <f t="shared" si="21"/>
        <v>46087.343940298364</v>
      </c>
      <c r="Y39" s="1">
        <f t="shared" si="32"/>
        <v>-1617854969.0690117</v>
      </c>
      <c r="Z39" s="1">
        <f t="shared" si="33"/>
        <v>1062021635.7356782</v>
      </c>
      <c r="AA39" s="1">
        <f t="shared" si="34"/>
        <v>-555833333.33333349</v>
      </c>
    </row>
    <row r="40" spans="1:27" x14ac:dyDescent="0.3">
      <c r="A40">
        <v>155</v>
      </c>
      <c r="B40" s="4">
        <f t="shared" si="3"/>
        <v>-4.9154094223052044E-2</v>
      </c>
      <c r="C40" s="4">
        <f t="shared" si="4"/>
        <v>-1.7842236172401396E-2</v>
      </c>
      <c r="D40" s="4">
        <f t="shared" si="5"/>
        <v>1.7691292989550809E-3</v>
      </c>
      <c r="E40" s="4">
        <f t="shared" si="26"/>
        <v>1.9376707513259652</v>
      </c>
      <c r="F40" s="5">
        <f t="shared" si="27"/>
        <v>5.2322081275469619E-2</v>
      </c>
      <c r="G40" s="5">
        <f t="shared" si="28"/>
        <v>5.2322081275469619E-2</v>
      </c>
      <c r="H40" s="2">
        <f t="shared" si="29"/>
        <v>130373.63658579494</v>
      </c>
      <c r="I40" s="1">
        <f t="shared" si="30"/>
        <v>-9387975891.6357994</v>
      </c>
      <c r="J40" s="6">
        <f t="shared" si="31"/>
        <v>8498642558.3024654</v>
      </c>
      <c r="K40">
        <v>155</v>
      </c>
      <c r="L40" s="4">
        <f t="shared" si="10"/>
        <v>9.3677545823035127E-2</v>
      </c>
      <c r="M40" s="4">
        <f t="shared" si="11"/>
        <v>-4.3258121902542412E-2</v>
      </c>
      <c r="N40" s="4">
        <f t="shared" si="12"/>
        <v>1.7425643575642455E-2</v>
      </c>
      <c r="O40" s="5">
        <f t="shared" si="13"/>
        <v>0.10464416255093924</v>
      </c>
      <c r="P40" s="2">
        <f t="shared" si="14"/>
        <v>92188.082517766175</v>
      </c>
      <c r="Q40" s="1">
        <f t="shared" si="15"/>
        <v>-4693987945.8178997</v>
      </c>
      <c r="R40" s="6">
        <f t="shared" si="16"/>
        <v>4249321279.1512327</v>
      </c>
      <c r="S40">
        <v>155</v>
      </c>
      <c r="T40" s="4">
        <f t="shared" si="17"/>
        <v>-0.37420996815787883</v>
      </c>
      <c r="U40" s="4">
        <f t="shared" si="18"/>
        <v>0.17449697390995708</v>
      </c>
      <c r="V40" s="4">
        <f t="shared" si="19"/>
        <v>0</v>
      </c>
      <c r="W40" s="5">
        <f t="shared" si="25"/>
        <v>0.41289501592106065</v>
      </c>
      <c r="X40" s="2">
        <f t="shared" si="21"/>
        <v>46410.095812027866</v>
      </c>
      <c r="Y40" s="1">
        <f t="shared" si="32"/>
        <v>-1632781829.9741368</v>
      </c>
      <c r="Z40" s="1">
        <f t="shared" si="33"/>
        <v>1076948496.6408033</v>
      </c>
      <c r="AA40" s="1">
        <f t="shared" si="34"/>
        <v>-555833333.33333349</v>
      </c>
    </row>
    <row r="41" spans="1:27" x14ac:dyDescent="0.3">
      <c r="A41">
        <v>160</v>
      </c>
      <c r="B41" s="4">
        <f t="shared" si="3"/>
        <v>-4.9680753088776675E-2</v>
      </c>
      <c r="C41" s="4">
        <f t="shared" si="4"/>
        <v>-1.3281586746618538E-2</v>
      </c>
      <c r="D41" s="4">
        <f t="shared" si="5"/>
        <v>2.1488680516794784E-3</v>
      </c>
      <c r="E41" s="4">
        <f t="shared" si="26"/>
        <v>2.3927737206949664</v>
      </c>
      <c r="F41" s="5">
        <f t="shared" si="27"/>
        <v>5.147033522214009E-2</v>
      </c>
      <c r="G41" s="5">
        <f t="shared" si="28"/>
        <v>5.1470335222140097E-2</v>
      </c>
      <c r="H41" s="2">
        <f t="shared" si="29"/>
        <v>131447.94074623231</v>
      </c>
      <c r="I41" s="1">
        <f t="shared" si="30"/>
        <v>-9528613896.5458336</v>
      </c>
      <c r="J41" s="6">
        <f t="shared" si="31"/>
        <v>8639280563.2124996</v>
      </c>
      <c r="K41">
        <v>160</v>
      </c>
      <c r="L41" s="4">
        <f t="shared" si="10"/>
        <v>9.57265020972521E-2</v>
      </c>
      <c r="M41" s="4">
        <f t="shared" si="11"/>
        <v>-3.4438408331072243E-2</v>
      </c>
      <c r="N41" s="4">
        <f t="shared" si="12"/>
        <v>1.5723055026457992E-2</v>
      </c>
      <c r="O41" s="5">
        <f t="shared" si="13"/>
        <v>0.10294067044428019</v>
      </c>
      <c r="P41" s="2">
        <f t="shared" si="14"/>
        <v>92947.730274668356</v>
      </c>
      <c r="Q41" s="1">
        <f t="shared" si="15"/>
        <v>-4764306948.2729168</v>
      </c>
      <c r="R41" s="6">
        <f t="shared" si="16"/>
        <v>4319640281.6062498</v>
      </c>
      <c r="S41">
        <v>160</v>
      </c>
      <c r="T41" s="4">
        <f t="shared" si="17"/>
        <v>-0.38358811291012629</v>
      </c>
      <c r="U41" s="4">
        <f t="shared" si="18"/>
        <v>0.1396146553176292</v>
      </c>
      <c r="V41" s="4">
        <f t="shared" si="19"/>
        <v>0</v>
      </c>
      <c r="W41" s="5">
        <f t="shared" si="25"/>
        <v>0.40820594354493689</v>
      </c>
      <c r="X41" s="2">
        <f t="shared" si="21"/>
        <v>46675.891684206508</v>
      </c>
      <c r="Y41" s="1">
        <f t="shared" si="32"/>
        <v>-1645152765.5912223</v>
      </c>
      <c r="Z41" s="1">
        <f t="shared" si="33"/>
        <v>1089319432.257889</v>
      </c>
      <c r="AA41" s="1">
        <f t="shared" si="34"/>
        <v>-555833333.33333325</v>
      </c>
    </row>
    <row r="42" spans="1:27" x14ac:dyDescent="0.3">
      <c r="A42">
        <v>165</v>
      </c>
      <c r="B42" s="4">
        <f t="shared" si="3"/>
        <v>-4.9990030135353171E-2</v>
      </c>
      <c r="C42" s="4">
        <f t="shared" si="4"/>
        <v>-8.7977702689141235E-3</v>
      </c>
      <c r="D42" s="4">
        <f t="shared" si="5"/>
        <v>2.5089583359465366E-3</v>
      </c>
      <c r="E42" s="4">
        <f t="shared" si="26"/>
        <v>2.8298002666757447</v>
      </c>
      <c r="F42" s="5">
        <f t="shared" si="27"/>
        <v>5.0820259213916086E-2</v>
      </c>
      <c r="G42" s="5">
        <f t="shared" si="28"/>
        <v>5.0820259213916093E-2</v>
      </c>
      <c r="H42" s="2">
        <f t="shared" si="29"/>
        <v>132285.98862413302</v>
      </c>
      <c r="I42" s="1">
        <f t="shared" si="30"/>
        <v>-9639124726.4654598</v>
      </c>
      <c r="J42" s="6">
        <f t="shared" si="31"/>
        <v>8749791393.1321259</v>
      </c>
      <c r="K42">
        <v>165</v>
      </c>
      <c r="L42" s="4">
        <f t="shared" si="10"/>
        <v>9.7326915681143225E-2</v>
      </c>
      <c r="M42" s="4">
        <f t="shared" si="11"/>
        <v>-2.5731641739893688E-2</v>
      </c>
      <c r="N42" s="4">
        <f t="shared" si="12"/>
        <v>1.400532340375941E-2</v>
      </c>
      <c r="O42" s="5">
        <f t="shared" si="13"/>
        <v>0.10164051842783219</v>
      </c>
      <c r="P42" s="2">
        <f t="shared" si="14"/>
        <v>93540.319612090942</v>
      </c>
      <c r="Q42" s="1">
        <f t="shared" si="15"/>
        <v>-4819562363.2327299</v>
      </c>
      <c r="R42" s="6">
        <f t="shared" si="16"/>
        <v>4374895696.5660629</v>
      </c>
      <c r="S42">
        <v>165</v>
      </c>
      <c r="T42" s="4">
        <f t="shared" si="17"/>
        <v>-0.39080916362535884</v>
      </c>
      <c r="U42" s="4">
        <f t="shared" si="18"/>
        <v>0.10471699978809751</v>
      </c>
      <c r="V42" s="4">
        <f t="shared" si="19"/>
        <v>0</v>
      </c>
      <c r="W42" s="5">
        <f t="shared" si="25"/>
        <v>0.4045954181873207</v>
      </c>
      <c r="X42" s="2">
        <f t="shared" si="21"/>
        <v>46883.692096444698</v>
      </c>
      <c r="Y42" s="1">
        <f t="shared" si="32"/>
        <v>-1654873625.6304488</v>
      </c>
      <c r="Z42" s="1">
        <f t="shared" si="33"/>
        <v>1099040292.2971156</v>
      </c>
      <c r="AA42" s="1">
        <f t="shared" si="34"/>
        <v>-555833333.33333325</v>
      </c>
    </row>
    <row r="43" spans="1:27" x14ac:dyDescent="0.3">
      <c r="A43">
        <v>170</v>
      </c>
      <c r="B43" s="4">
        <f t="shared" si="3"/>
        <v>-5.0090959378953213E-2</v>
      </c>
      <c r="C43" s="4">
        <f t="shared" si="4"/>
        <v>-4.3749733457820296E-3</v>
      </c>
      <c r="D43" s="4">
        <f t="shared" si="5"/>
        <v>2.8511749127415049E-3</v>
      </c>
      <c r="E43" s="4">
        <f t="shared" si="26"/>
        <v>3.2454291027913205</v>
      </c>
      <c r="F43" s="5">
        <f t="shared" si="27"/>
        <v>5.0362424501440461E-2</v>
      </c>
      <c r="G43" s="5">
        <f t="shared" si="28"/>
        <v>5.0362424501440468E-2</v>
      </c>
      <c r="H43" s="2">
        <f t="shared" si="29"/>
        <v>132885.92095415824</v>
      </c>
      <c r="I43" s="1">
        <f t="shared" si="30"/>
        <v>-9718667327.2507305</v>
      </c>
      <c r="J43" s="6">
        <f t="shared" si="31"/>
        <v>8829333993.9173965</v>
      </c>
      <c r="K43">
        <v>170</v>
      </c>
      <c r="L43" s="4">
        <f t="shared" si="10"/>
        <v>9.8500203327240549E-2</v>
      </c>
      <c r="M43" s="4">
        <f t="shared" si="11"/>
        <v>-1.7108473010832705E-2</v>
      </c>
      <c r="N43" s="4">
        <f t="shared" si="12"/>
        <v>1.2268060253481122E-2</v>
      </c>
      <c r="O43" s="5">
        <f t="shared" si="13"/>
        <v>0.10072484900288094</v>
      </c>
      <c r="P43" s="2">
        <f t="shared" si="14"/>
        <v>93964.535830904817</v>
      </c>
      <c r="Q43" s="1">
        <f t="shared" si="15"/>
        <v>-4859333663.6253653</v>
      </c>
      <c r="R43" s="6">
        <f t="shared" si="16"/>
        <v>4414666996.9586983</v>
      </c>
      <c r="S43">
        <v>170</v>
      </c>
      <c r="T43" s="4">
        <f t="shared" si="17"/>
        <v>-0.39592811376948212</v>
      </c>
      <c r="U43" s="4">
        <f t="shared" si="18"/>
        <v>6.9812808878570373E-2</v>
      </c>
      <c r="V43" s="4">
        <f t="shared" si="19"/>
        <v>0</v>
      </c>
      <c r="W43" s="5">
        <f t="shared" si="25"/>
        <v>0.40203594311525903</v>
      </c>
      <c r="X43" s="2">
        <f t="shared" si="21"/>
        <v>47032.692781595397</v>
      </c>
      <c r="Y43" s="1">
        <f t="shared" si="32"/>
        <v>-1661870428.4773011</v>
      </c>
      <c r="Z43" s="1">
        <f t="shared" si="33"/>
        <v>1106037095.1439679</v>
      </c>
      <c r="AA43" s="1">
        <f t="shared" si="34"/>
        <v>-555833333.33333325</v>
      </c>
    </row>
    <row r="44" spans="1:27" x14ac:dyDescent="0.3">
      <c r="A44">
        <v>175</v>
      </c>
      <c r="B44" s="4">
        <f t="shared" si="3"/>
        <v>-4.9989433189308013E-2</v>
      </c>
      <c r="C44" s="4">
        <f t="shared" si="4"/>
        <v>1.8514610715739122E-6</v>
      </c>
      <c r="D44" s="4">
        <f t="shared" si="5"/>
        <v>3.1770347318753915E-3</v>
      </c>
      <c r="E44" s="4">
        <f t="shared" si="26"/>
        <v>3.6364923614175444</v>
      </c>
      <c r="F44" s="5">
        <f t="shared" si="27"/>
        <v>5.009028831723511E-2</v>
      </c>
      <c r="G44" s="5">
        <f t="shared" si="28"/>
        <v>5.009028831723511E-2</v>
      </c>
      <c r="H44" s="2">
        <f t="shared" si="29"/>
        <v>133246.41082105885</v>
      </c>
      <c r="I44" s="1">
        <f t="shared" si="30"/>
        <v>-9766636331.6805286</v>
      </c>
      <c r="J44" s="6">
        <f t="shared" si="31"/>
        <v>8877302998.3471947</v>
      </c>
      <c r="K44">
        <v>175</v>
      </c>
      <c r="L44" s="4">
        <f t="shared" si="10"/>
        <v>9.9261375125927157E-2</v>
      </c>
      <c r="M44" s="4">
        <f t="shared" si="11"/>
        <v>-8.5405124371674534E-3</v>
      </c>
      <c r="N44" s="4">
        <f t="shared" si="12"/>
        <v>1.0506521319424396E-2</v>
      </c>
      <c r="O44" s="5">
        <f t="shared" si="13"/>
        <v>0.10018057663447022</v>
      </c>
      <c r="P44" s="2">
        <f t="shared" si="14"/>
        <v>94219.440660339285</v>
      </c>
      <c r="Q44" s="1">
        <f t="shared" si="15"/>
        <v>-4883318165.8402643</v>
      </c>
      <c r="R44" s="6">
        <f t="shared" si="16"/>
        <v>4438651499.1735973</v>
      </c>
      <c r="S44">
        <v>175</v>
      </c>
      <c r="T44" s="4">
        <f t="shared" si="17"/>
        <v>-0.3989839640499524</v>
      </c>
      <c r="U44" s="4">
        <f t="shared" si="18"/>
        <v>3.490657378300565E-2</v>
      </c>
      <c r="V44" s="4">
        <f t="shared" si="19"/>
        <v>0</v>
      </c>
      <c r="W44" s="5">
        <f t="shared" si="25"/>
        <v>0.40050801797502394</v>
      </c>
      <c r="X44" s="2">
        <f t="shared" si="21"/>
        <v>47122.321481522886</v>
      </c>
      <c r="Y44" s="1">
        <f t="shared" si="32"/>
        <v>-1666089924.23733</v>
      </c>
      <c r="Z44" s="1">
        <f t="shared" si="33"/>
        <v>1110256590.9039967</v>
      </c>
      <c r="AA44" s="1">
        <f t="shared" si="34"/>
        <v>-555833333.33333325</v>
      </c>
    </row>
    <row r="45" spans="1:27" x14ac:dyDescent="0.3">
      <c r="A45">
        <v>180</v>
      </c>
      <c r="B45" s="4">
        <f t="shared" si="3"/>
        <v>-4.9688400893788211E-2</v>
      </c>
      <c r="C45" s="4">
        <f t="shared" si="4"/>
        <v>4.3471717869378529E-3</v>
      </c>
      <c r="D45" s="4">
        <f t="shared" si="5"/>
        <v>3.4878236872062751E-3</v>
      </c>
      <c r="E45" s="4">
        <f t="shared" si="26"/>
        <v>4.0000000000000124</v>
      </c>
      <c r="F45" s="5">
        <f t="shared" si="27"/>
        <v>4.9999999999999989E-2</v>
      </c>
      <c r="G45" s="5">
        <f t="shared" si="28"/>
        <v>4.9999999999999989E-2</v>
      </c>
      <c r="H45" s="2">
        <f t="shared" si="29"/>
        <v>133366.66250104137</v>
      </c>
      <c r="I45" s="1">
        <f t="shared" si="30"/>
        <v>-9782666666.6666698</v>
      </c>
      <c r="J45" s="6">
        <f t="shared" si="31"/>
        <v>8893333333.3333359</v>
      </c>
      <c r="K45">
        <v>180</v>
      </c>
      <c r="L45" s="4">
        <f t="shared" si="10"/>
        <v>9.9619469809174535E-2</v>
      </c>
      <c r="M45" s="4">
        <f t="shared" si="11"/>
        <v>-2.4188624168668567E-17</v>
      </c>
      <c r="N45" s="4">
        <f t="shared" si="12"/>
        <v>8.7155742747658162E-3</v>
      </c>
      <c r="O45" s="5">
        <f t="shared" si="13"/>
        <v>9.9999999999999978E-2</v>
      </c>
      <c r="P45" s="2">
        <f t="shared" si="14"/>
        <v>94304.471438703986</v>
      </c>
      <c r="Q45" s="1">
        <f t="shared" si="15"/>
        <v>-4891333333.3333349</v>
      </c>
      <c r="R45" s="6">
        <f t="shared" si="16"/>
        <v>4446666666.6666679</v>
      </c>
      <c r="S45">
        <v>180</v>
      </c>
      <c r="T45" s="4">
        <f t="shared" si="17"/>
        <v>-0.40000000000000008</v>
      </c>
      <c r="U45" s="4">
        <f t="shared" si="18"/>
        <v>4.9005938196344813E-17</v>
      </c>
      <c r="V45" s="4">
        <f t="shared" si="19"/>
        <v>0</v>
      </c>
      <c r="W45" s="5">
        <f t="shared" si="25"/>
        <v>0.40000000000000008</v>
      </c>
      <c r="X45" s="2">
        <f t="shared" si="21"/>
        <v>47152.235719351978</v>
      </c>
      <c r="Y45" s="1">
        <f t="shared" si="32"/>
        <v>-1667499999.9999995</v>
      </c>
      <c r="Z45" s="1">
        <f t="shared" si="33"/>
        <v>1111666666.6666663</v>
      </c>
      <c r="AA45" s="1">
        <f t="shared" si="34"/>
        <v>-555833333.33333325</v>
      </c>
    </row>
    <row r="46" spans="1:27" x14ac:dyDescent="0.3">
      <c r="A46">
        <v>185</v>
      </c>
      <c r="B46" s="4">
        <f t="shared" si="3"/>
        <v>-4.9187978282588224E-2</v>
      </c>
      <c r="C46" s="4">
        <f t="shared" si="4"/>
        <v>8.6750477205652619E-3</v>
      </c>
      <c r="D46" s="4">
        <f t="shared" si="5"/>
        <v>3.7846166544691301E-3</v>
      </c>
      <c r="E46" s="4">
        <f t="shared" si="26"/>
        <v>4.3331634754238211</v>
      </c>
      <c r="F46" s="5">
        <f t="shared" si="27"/>
        <v>5.009028831723511E-2</v>
      </c>
      <c r="G46" s="5">
        <f t="shared" si="28"/>
        <v>5.009028831723511E-2</v>
      </c>
      <c r="H46" s="2">
        <f t="shared" si="29"/>
        <v>133246.41082105885</v>
      </c>
      <c r="I46" s="1">
        <f t="shared" si="30"/>
        <v>-9766636331.6805286</v>
      </c>
      <c r="J46" s="6">
        <f t="shared" si="31"/>
        <v>8877302998.3471947</v>
      </c>
      <c r="K46">
        <v>185</v>
      </c>
      <c r="L46" s="4">
        <f t="shared" si="10"/>
        <v>9.9577810079403015E-2</v>
      </c>
      <c r="M46" s="4">
        <f t="shared" si="11"/>
        <v>8.5405124371674065E-3</v>
      </c>
      <c r="N46" s="4">
        <f t="shared" si="12"/>
        <v>6.8896532507736231E-3</v>
      </c>
      <c r="O46" s="5">
        <f t="shared" si="13"/>
        <v>0.10018057663447022</v>
      </c>
      <c r="P46" s="2">
        <f t="shared" si="14"/>
        <v>94219.440660339285</v>
      </c>
      <c r="Q46" s="1">
        <f t="shared" si="15"/>
        <v>-4883318165.8402643</v>
      </c>
      <c r="R46" s="6">
        <f t="shared" si="16"/>
        <v>4438651499.1735973</v>
      </c>
      <c r="S46">
        <v>185</v>
      </c>
      <c r="T46" s="4">
        <f t="shared" si="17"/>
        <v>-0.3989839640499524</v>
      </c>
      <c r="U46" s="4">
        <f t="shared" si="18"/>
        <v>-3.4906573783005553E-2</v>
      </c>
      <c r="V46" s="4">
        <f t="shared" si="19"/>
        <v>0</v>
      </c>
      <c r="W46" s="5">
        <f t="shared" si="25"/>
        <v>0.40050801797502394</v>
      </c>
      <c r="X46" s="2">
        <f t="shared" si="21"/>
        <v>47122.321481522886</v>
      </c>
      <c r="Y46" s="1">
        <f t="shared" si="32"/>
        <v>-1666089924.23733</v>
      </c>
      <c r="Z46" s="1">
        <f t="shared" si="33"/>
        <v>1110256590.9039967</v>
      </c>
      <c r="AA46" s="1">
        <f t="shared" si="34"/>
        <v>-555833333.33333325</v>
      </c>
    </row>
    <row r="47" spans="1:27" x14ac:dyDescent="0.3">
      <c r="A47">
        <v>190</v>
      </c>
      <c r="B47" s="4">
        <f t="shared" si="3"/>
        <v>-4.8485473789898481E-2</v>
      </c>
      <c r="C47" s="4">
        <f t="shared" si="4"/>
        <v>1.299929373887744E-2</v>
      </c>
      <c r="D47" s="4">
        <f t="shared" si="5"/>
        <v>4.0682914500733552E-3</v>
      </c>
      <c r="E47" s="4">
        <f t="shared" si="26"/>
        <v>4.6334184481055081</v>
      </c>
      <c r="F47" s="5">
        <f t="shared" si="27"/>
        <v>5.0362424501440461E-2</v>
      </c>
      <c r="G47" s="5">
        <f t="shared" si="28"/>
        <v>5.0362424501440468E-2</v>
      </c>
      <c r="H47" s="2">
        <f t="shared" si="29"/>
        <v>132885.92095415824</v>
      </c>
      <c r="I47" s="1">
        <f t="shared" si="30"/>
        <v>-9718667327.2507305</v>
      </c>
      <c r="J47" s="6">
        <f t="shared" si="31"/>
        <v>8829333993.9173965</v>
      </c>
      <c r="K47">
        <v>190</v>
      </c>
      <c r="L47" s="4">
        <f t="shared" si="10"/>
        <v>9.9134090216470488E-2</v>
      </c>
      <c r="M47" s="4">
        <f t="shared" si="11"/>
        <v>1.7108473010832702E-2</v>
      </c>
      <c r="N47" s="4">
        <f t="shared" si="12"/>
        <v>5.0226999555483031E-3</v>
      </c>
      <c r="O47" s="5">
        <f t="shared" si="13"/>
        <v>0.10072484900288094</v>
      </c>
      <c r="P47" s="2">
        <f t="shared" si="14"/>
        <v>93964.535830904817</v>
      </c>
      <c r="Q47" s="1">
        <f t="shared" si="15"/>
        <v>-4859333663.6253653</v>
      </c>
      <c r="R47" s="6">
        <f t="shared" si="16"/>
        <v>4414666996.9586983</v>
      </c>
      <c r="S47">
        <v>190</v>
      </c>
      <c r="T47" s="4">
        <f t="shared" si="17"/>
        <v>-0.39592811376948212</v>
      </c>
      <c r="U47" s="4">
        <f t="shared" si="18"/>
        <v>-6.9812808878570456E-2</v>
      </c>
      <c r="V47" s="4">
        <f t="shared" si="19"/>
        <v>0</v>
      </c>
      <c r="W47" s="5">
        <f t="shared" si="25"/>
        <v>0.40203594311525903</v>
      </c>
      <c r="X47" s="2">
        <f t="shared" si="21"/>
        <v>47032.692781595397</v>
      </c>
      <c r="Y47" s="1">
        <f t="shared" si="32"/>
        <v>-1661870428.4773011</v>
      </c>
      <c r="Z47" s="1">
        <f t="shared" si="33"/>
        <v>1106037095.1439679</v>
      </c>
      <c r="AA47" s="1">
        <f t="shared" si="34"/>
        <v>-555833333.33333325</v>
      </c>
    </row>
    <row r="48" spans="1:27" x14ac:dyDescent="0.3">
      <c r="A48">
        <v>195</v>
      </c>
      <c r="B48" s="4">
        <f t="shared" si="3"/>
        <v>-4.7575333045206045E-2</v>
      </c>
      <c r="C48" s="4">
        <f t="shared" si="4"/>
        <v>1.7333633500002634E-2</v>
      </c>
      <c r="D48" s="4">
        <f t="shared" si="5"/>
        <v>4.3395370599795344E-3</v>
      </c>
      <c r="E48" s="4">
        <f t="shared" si="26"/>
        <v>4.8984462457654718</v>
      </c>
      <c r="F48" s="5">
        <f t="shared" si="27"/>
        <v>5.0820259213916093E-2</v>
      </c>
      <c r="G48" s="5">
        <f t="shared" si="28"/>
        <v>5.0820259213916093E-2</v>
      </c>
      <c r="H48" s="2">
        <f t="shared" si="29"/>
        <v>132285.98862413302</v>
      </c>
      <c r="I48" s="1">
        <f t="shared" si="30"/>
        <v>-9639124726.4654598</v>
      </c>
      <c r="J48" s="6">
        <f t="shared" si="31"/>
        <v>8749791393.1321259</v>
      </c>
      <c r="K48">
        <v>195</v>
      </c>
      <c r="L48" s="4">
        <f t="shared" si="10"/>
        <v>9.8280300026254153E-2</v>
      </c>
      <c r="M48" s="4">
        <f t="shared" si="11"/>
        <v>2.5731641739893642E-2</v>
      </c>
      <c r="N48" s="4">
        <f t="shared" si="12"/>
        <v>3.1080904745079217E-3</v>
      </c>
      <c r="O48" s="5">
        <f t="shared" si="13"/>
        <v>0.10164051842783219</v>
      </c>
      <c r="P48" s="2">
        <f t="shared" si="14"/>
        <v>93540.319612090942</v>
      </c>
      <c r="Q48" s="1">
        <f t="shared" si="15"/>
        <v>-4819562363.2327299</v>
      </c>
      <c r="R48" s="6">
        <f t="shared" si="16"/>
        <v>4374895696.5660629</v>
      </c>
      <c r="S48">
        <v>195</v>
      </c>
      <c r="T48" s="4">
        <f t="shared" si="17"/>
        <v>-0.39080916362535889</v>
      </c>
      <c r="U48" s="4">
        <f t="shared" si="18"/>
        <v>-0.10471699978809741</v>
      </c>
      <c r="V48" s="4">
        <f t="shared" si="19"/>
        <v>0</v>
      </c>
      <c r="W48" s="5">
        <f t="shared" si="25"/>
        <v>0.4045954181873207</v>
      </c>
      <c r="X48" s="2">
        <f t="shared" si="21"/>
        <v>46883.692096444698</v>
      </c>
      <c r="Y48" s="1">
        <f t="shared" si="32"/>
        <v>-1654873625.6304488</v>
      </c>
      <c r="Z48" s="1">
        <f t="shared" si="33"/>
        <v>1099040292.2971156</v>
      </c>
      <c r="AA48" s="1">
        <f t="shared" si="34"/>
        <v>-555833333.33333325</v>
      </c>
    </row>
    <row r="49" spans="1:27" x14ac:dyDescent="0.3">
      <c r="A49">
        <v>200</v>
      </c>
      <c r="B49" s="4">
        <f t="shared" si="3"/>
        <v>-4.6448999544757279E-2</v>
      </c>
      <c r="C49" s="4">
        <f t="shared" si="4"/>
        <v>2.1691850329604086E-2</v>
      </c>
      <c r="D49" s="4">
        <f t="shared" si="5"/>
        <v>4.5988562109146713E-3</v>
      </c>
      <c r="E49" s="4">
        <f t="shared" si="26"/>
        <v>5.1261937932075234</v>
      </c>
      <c r="F49" s="5">
        <f t="shared" si="27"/>
        <v>5.1470335222140097E-2</v>
      </c>
      <c r="G49" s="5">
        <f t="shared" si="28"/>
        <v>5.1470335222140097E-2</v>
      </c>
      <c r="H49" s="2">
        <f t="shared" si="29"/>
        <v>131447.94074623231</v>
      </c>
      <c r="I49" s="1">
        <f t="shared" si="30"/>
        <v>-9528613896.5458336</v>
      </c>
      <c r="J49" s="6">
        <f t="shared" si="31"/>
        <v>8639280563.2124996</v>
      </c>
      <c r="K49">
        <v>200</v>
      </c>
      <c r="L49" s="4">
        <f t="shared" si="10"/>
        <v>9.7002481286814574E-2</v>
      </c>
      <c r="M49" s="4">
        <f t="shared" si="11"/>
        <v>3.4438408331072187E-2</v>
      </c>
      <c r="N49" s="4">
        <f t="shared" si="12"/>
        <v>1.1385461525240193E-3</v>
      </c>
      <c r="O49" s="5">
        <f t="shared" si="13"/>
        <v>0.10294067044428019</v>
      </c>
      <c r="P49" s="2">
        <f t="shared" si="14"/>
        <v>92947.730274668356</v>
      </c>
      <c r="Q49" s="1">
        <f t="shared" si="15"/>
        <v>-4764306948.2729168</v>
      </c>
      <c r="R49" s="6">
        <f t="shared" si="16"/>
        <v>4319640281.6062498</v>
      </c>
      <c r="S49">
        <v>200</v>
      </c>
      <c r="T49" s="4">
        <f t="shared" si="17"/>
        <v>-0.38358811291012634</v>
      </c>
      <c r="U49" s="4">
        <f t="shared" si="18"/>
        <v>-0.13961465531762912</v>
      </c>
      <c r="V49" s="4">
        <f t="shared" si="19"/>
        <v>0</v>
      </c>
      <c r="W49" s="5">
        <f t="shared" si="25"/>
        <v>0.40820594354493689</v>
      </c>
      <c r="X49" s="2">
        <f t="shared" si="21"/>
        <v>46675.891684206508</v>
      </c>
      <c r="Y49" s="1">
        <f t="shared" si="32"/>
        <v>-1645152765.5912223</v>
      </c>
      <c r="Z49" s="1">
        <f t="shared" si="33"/>
        <v>1089319432.257889</v>
      </c>
      <c r="AA49" s="1">
        <f t="shared" si="34"/>
        <v>-555833333.33333325</v>
      </c>
    </row>
    <row r="50" spans="1:27" x14ac:dyDescent="0.3">
      <c r="A50">
        <v>205</v>
      </c>
      <c r="B50" s="4">
        <f t="shared" si="3"/>
        <v>-4.5094685105702401E-2</v>
      </c>
      <c r="C50" s="4">
        <f t="shared" si="4"/>
        <v>2.6087935914823841E-2</v>
      </c>
      <c r="D50" s="4">
        <f t="shared" si="5"/>
        <v>4.8465620720707508E-3</v>
      </c>
      <c r="E50" s="4">
        <f t="shared" si="26"/>
        <v>5.3148917014534396</v>
      </c>
      <c r="F50" s="5">
        <f t="shared" si="27"/>
        <v>5.2322081275469619E-2</v>
      </c>
      <c r="G50" s="5">
        <f t="shared" si="28"/>
        <v>5.2322081275469619E-2</v>
      </c>
      <c r="H50" s="2">
        <f t="shared" si="29"/>
        <v>130373.63658579494</v>
      </c>
      <c r="I50" s="1">
        <f t="shared" si="30"/>
        <v>-9387975891.6357994</v>
      </c>
      <c r="J50" s="6">
        <f t="shared" si="31"/>
        <v>8498642558.3024654</v>
      </c>
      <c r="K50">
        <v>205</v>
      </c>
      <c r="L50" s="4">
        <f t="shared" si="10"/>
        <v>9.5280304661265164E-2</v>
      </c>
      <c r="M50" s="4">
        <f t="shared" si="11"/>
        <v>4.3258121902542357E-2</v>
      </c>
      <c r="N50" s="4">
        <f t="shared" si="12"/>
        <v>-8.9397377403964244E-4</v>
      </c>
      <c r="O50" s="5">
        <f t="shared" si="13"/>
        <v>0.10464416255093924</v>
      </c>
      <c r="P50" s="2">
        <f t="shared" si="14"/>
        <v>92188.082517766175</v>
      </c>
      <c r="Q50" s="1">
        <f t="shared" si="15"/>
        <v>-4693987945.8178997</v>
      </c>
      <c r="R50" s="6">
        <f t="shared" si="16"/>
        <v>4249321279.1512327</v>
      </c>
      <c r="S50">
        <v>205</v>
      </c>
      <c r="T50" s="4">
        <f t="shared" si="17"/>
        <v>-0.37420996815787888</v>
      </c>
      <c r="U50" s="4">
        <f t="shared" si="18"/>
        <v>-0.174496973909957</v>
      </c>
      <c r="V50" s="4">
        <f t="shared" si="19"/>
        <v>0</v>
      </c>
      <c r="W50" s="5">
        <f t="shared" si="25"/>
        <v>0.41289501592106065</v>
      </c>
      <c r="X50" s="2">
        <f t="shared" si="21"/>
        <v>46410.095812027866</v>
      </c>
      <c r="Y50" s="1">
        <f t="shared" si="32"/>
        <v>-1632781829.9741368</v>
      </c>
      <c r="Z50" s="1">
        <f t="shared" si="33"/>
        <v>1076948496.6408033</v>
      </c>
      <c r="AA50" s="1">
        <f t="shared" si="34"/>
        <v>-555833333.33333349</v>
      </c>
    </row>
    <row r="51" spans="1:27" x14ac:dyDescent="0.3">
      <c r="A51">
        <v>210</v>
      </c>
      <c r="B51" s="4">
        <f t="shared" si="3"/>
        <v>-4.3497039241848341E-2</v>
      </c>
      <c r="C51" s="4">
        <f t="shared" si="4"/>
        <v>3.0536239389877307E-2</v>
      </c>
      <c r="D51" s="4">
        <f t="shared" si="5"/>
        <v>5.0827685628749225E-3</v>
      </c>
      <c r="E51" s="4">
        <f t="shared" si="26"/>
        <v>5.4630702093647079</v>
      </c>
      <c r="F51" s="5">
        <f t="shared" si="27"/>
        <v>5.3388096755236918E-2</v>
      </c>
      <c r="G51" s="5">
        <f t="shared" si="28"/>
        <v>5.3388096755236918E-2</v>
      </c>
      <c r="H51" s="2">
        <f t="shared" si="29"/>
        <v>129065.46957679222</v>
      </c>
      <c r="I51" s="1">
        <f t="shared" si="30"/>
        <v>-9218281051.8722725</v>
      </c>
      <c r="J51" s="6">
        <f t="shared" si="31"/>
        <v>8328947718.5389395</v>
      </c>
      <c r="K51">
        <v>210</v>
      </c>
      <c r="L51" s="4">
        <f t="shared" si="10"/>
        <v>9.3086445991596725E-2</v>
      </c>
      <c r="M51" s="4">
        <f t="shared" si="11"/>
        <v>5.2221438748879266E-2</v>
      </c>
      <c r="N51" s="4">
        <f t="shared" si="12"/>
        <v>-2.9984009466299845E-3</v>
      </c>
      <c r="O51" s="5">
        <f t="shared" si="13"/>
        <v>0.10677619351047384</v>
      </c>
      <c r="P51" s="2">
        <f t="shared" si="14"/>
        <v>91263.068754775828</v>
      </c>
      <c r="Q51" s="1">
        <f t="shared" si="15"/>
        <v>-4609140525.9361362</v>
      </c>
      <c r="R51" s="6">
        <f t="shared" si="16"/>
        <v>4164473859.2694697</v>
      </c>
      <c r="S51">
        <v>210</v>
      </c>
      <c r="T51" s="4">
        <f t="shared" si="17"/>
        <v>-0.3626033751023548</v>
      </c>
      <c r="U51" s="4">
        <f t="shared" si="18"/>
        <v>-0.20934915622441144</v>
      </c>
      <c r="V51" s="4">
        <f t="shared" si="19"/>
        <v>0</v>
      </c>
      <c r="W51" s="5">
        <f t="shared" si="25"/>
        <v>0.41869831244882277</v>
      </c>
      <c r="X51" s="2">
        <f t="shared" si="21"/>
        <v>46087.343940298357</v>
      </c>
      <c r="Y51" s="1">
        <f t="shared" si="32"/>
        <v>-1617854969.0690112</v>
      </c>
      <c r="Z51" s="1">
        <f t="shared" si="33"/>
        <v>1062021635.7356778</v>
      </c>
      <c r="AA51" s="1">
        <f t="shared" si="34"/>
        <v>-555833333.33333337</v>
      </c>
    </row>
    <row r="52" spans="1:27" x14ac:dyDescent="0.3">
      <c r="A52">
        <v>215</v>
      </c>
      <c r="B52" s="4">
        <f t="shared" si="3"/>
        <v>-4.1636701306820893E-2</v>
      </c>
      <c r="C52" s="4">
        <f t="shared" si="4"/>
        <v>3.5051618609173371E-2</v>
      </c>
      <c r="D52" s="4">
        <f t="shared" si="5"/>
        <v>5.3073733765631511E-3</v>
      </c>
      <c r="E52" s="4">
        <f t="shared" si="26"/>
        <v>5.5695726847632896</v>
      </c>
      <c r="F52" s="5">
        <f t="shared" si="27"/>
        <v>5.468454146278106E-2</v>
      </c>
      <c r="G52" s="5">
        <f t="shared" si="28"/>
        <v>5.468454146278106E-2</v>
      </c>
      <c r="H52" s="2">
        <f t="shared" si="29"/>
        <v>127526.37001120253</v>
      </c>
      <c r="I52" s="1">
        <f t="shared" si="30"/>
        <v>-9020820857.4504013</v>
      </c>
      <c r="J52" s="6">
        <f t="shared" si="31"/>
        <v>8131487524.1170673</v>
      </c>
      <c r="K52">
        <v>215</v>
      </c>
      <c r="L52" s="4">
        <f t="shared" si="10"/>
        <v>9.0385730292086422E-2</v>
      </c>
      <c r="M52" s="4">
        <f t="shared" si="11"/>
        <v>6.1360694416822847E-2</v>
      </c>
      <c r="N52" s="4">
        <f t="shared" si="12"/>
        <v>-5.1847121646222804E-3</v>
      </c>
      <c r="O52" s="5">
        <f t="shared" si="13"/>
        <v>0.10936908292556212</v>
      </c>
      <c r="P52" s="2">
        <f t="shared" si="14"/>
        <v>90174.761015026073</v>
      </c>
      <c r="Q52" s="1">
        <f t="shared" si="15"/>
        <v>-4510410428.7252007</v>
      </c>
      <c r="R52" s="6">
        <f t="shared" si="16"/>
        <v>4065743762.0585337</v>
      </c>
      <c r="S52">
        <v>215</v>
      </c>
      <c r="T52" s="4">
        <f t="shared" si="17"/>
        <v>-0.34868018386525323</v>
      </c>
      <c r="U52" s="4">
        <f t="shared" si="18"/>
        <v>-0.24414849316679796</v>
      </c>
      <c r="V52" s="4">
        <f t="shared" si="19"/>
        <v>0</v>
      </c>
      <c r="W52" s="5">
        <f t="shared" si="25"/>
        <v>0.42565990806737342</v>
      </c>
      <c r="X52" s="2">
        <f t="shared" si="21"/>
        <v>45708.914928426981</v>
      </c>
      <c r="Y52" s="1">
        <f t="shared" si="32"/>
        <v>-1600485785.3004208</v>
      </c>
      <c r="Z52" s="1">
        <f t="shared" si="33"/>
        <v>1044652451.9670874</v>
      </c>
      <c r="AA52" s="1">
        <f t="shared" si="34"/>
        <v>-555833333.33333337</v>
      </c>
    </row>
    <row r="53" spans="1:27" x14ac:dyDescent="0.3">
      <c r="A53">
        <v>220</v>
      </c>
      <c r="B53" s="4">
        <f t="shared" si="3"/>
        <v>-3.9489712780632881E-2</v>
      </c>
      <c r="C53" s="4">
        <f t="shared" si="4"/>
        <v>3.9649594887044712E-2</v>
      </c>
      <c r="D53" s="4">
        <f t="shared" si="5"/>
        <v>5.5200323788871467E-3</v>
      </c>
      <c r="E53" s="4">
        <f t="shared" si="26"/>
        <v>5.6335664204229037</v>
      </c>
      <c r="F53" s="5">
        <f t="shared" si="27"/>
        <v>5.6231650764205783E-2</v>
      </c>
      <c r="G53" s="5">
        <f t="shared" si="28"/>
        <v>5.6231650764205783E-2</v>
      </c>
      <c r="H53" s="2">
        <f t="shared" si="29"/>
        <v>125759.80889255618</v>
      </c>
      <c r="I53" s="1">
        <f t="shared" si="30"/>
        <v>-8797098099.6794586</v>
      </c>
      <c r="J53" s="6">
        <f t="shared" si="31"/>
        <v>7907764766.3461256</v>
      </c>
      <c r="K53">
        <v>220</v>
      </c>
      <c r="L53" s="4">
        <f t="shared" si="10"/>
        <v>8.7133998800547119E-2</v>
      </c>
      <c r="M53" s="4">
        <f t="shared" si="11"/>
        <v>7.0710306457553912E-2</v>
      </c>
      <c r="N53" s="4">
        <f t="shared" si="12"/>
        <v>-7.4641144401384717E-3</v>
      </c>
      <c r="O53" s="5">
        <f t="shared" si="13"/>
        <v>0.11246330152841157</v>
      </c>
      <c r="P53" s="2">
        <f t="shared" si="14"/>
        <v>88925.613668650753</v>
      </c>
      <c r="Q53" s="1">
        <f t="shared" si="15"/>
        <v>-4398549049.8397293</v>
      </c>
      <c r="R53" s="6">
        <f t="shared" si="16"/>
        <v>3953882383.1730628</v>
      </c>
      <c r="S53">
        <v>220</v>
      </c>
      <c r="T53" s="4">
        <f t="shared" si="17"/>
        <v>-0.332334982552279</v>
      </c>
      <c r="U53" s="4">
        <f t="shared" si="18"/>
        <v>-0.27886216128692509</v>
      </c>
      <c r="V53" s="4">
        <f t="shared" si="19"/>
        <v>0</v>
      </c>
      <c r="W53" s="5">
        <f t="shared" si="25"/>
        <v>0.43383250872386064</v>
      </c>
      <c r="X53" s="2">
        <f t="shared" si="21"/>
        <v>45276.332345085328</v>
      </c>
      <c r="Y53" s="1">
        <f t="shared" si="32"/>
        <v>-1580806468.6446433</v>
      </c>
      <c r="Z53" s="1">
        <f t="shared" si="33"/>
        <v>1024973135.3113099</v>
      </c>
      <c r="AA53" s="1">
        <f t="shared" si="34"/>
        <v>-555833333.33333337</v>
      </c>
    </row>
    <row r="54" spans="1:27" x14ac:dyDescent="0.3">
      <c r="A54">
        <v>225</v>
      </c>
      <c r="B54" s="4">
        <f t="shared" si="3"/>
        <v>-3.7026758906753714E-2</v>
      </c>
      <c r="C54" s="4">
        <f t="shared" si="4"/>
        <v>4.4346511731408293E-2</v>
      </c>
      <c r="D54" s="4">
        <f t="shared" si="5"/>
        <v>5.720123465061986E-3</v>
      </c>
      <c r="E54" s="4">
        <f t="shared" si="26"/>
        <v>5.6545505024793075</v>
      </c>
      <c r="F54" s="5">
        <f t="shared" si="27"/>
        <v>5.8054403711849036E-2</v>
      </c>
      <c r="G54" s="5">
        <f t="shared" si="28"/>
        <v>5.8054403711849036E-2</v>
      </c>
      <c r="H54" s="2">
        <f t="shared" si="29"/>
        <v>123769.80334879945</v>
      </c>
      <c r="I54" s="1">
        <f t="shared" si="30"/>
        <v>-8548815443.8335772</v>
      </c>
      <c r="J54" s="6">
        <f t="shared" si="31"/>
        <v>7659482110.5002441</v>
      </c>
      <c r="K54">
        <v>225</v>
      </c>
      <c r="L54" s="4">
        <f t="shared" si="10"/>
        <v>8.3276638059819122E-2</v>
      </c>
      <c r="M54" s="4">
        <f t="shared" si="11"/>
        <v>8.0307214148743616E-2</v>
      </c>
      <c r="N54" s="4">
        <f t="shared" si="12"/>
        <v>-9.8492675095727469E-3</v>
      </c>
      <c r="O54" s="5">
        <f t="shared" si="13"/>
        <v>0.11610880742369807</v>
      </c>
      <c r="P54" s="2">
        <f t="shared" si="14"/>
        <v>87518.467254061557</v>
      </c>
      <c r="Q54" s="1">
        <f t="shared" si="15"/>
        <v>-4274407721.9167886</v>
      </c>
      <c r="R54" s="6">
        <f t="shared" si="16"/>
        <v>3829741055.2501221</v>
      </c>
      <c r="S54">
        <v>225</v>
      </c>
      <c r="T54" s="4">
        <f t="shared" si="17"/>
        <v>-0.3134446499564898</v>
      </c>
      <c r="U54" s="4">
        <f t="shared" si="18"/>
        <v>-0.31344464995648968</v>
      </c>
      <c r="V54" s="4">
        <f t="shared" si="19"/>
        <v>0</v>
      </c>
      <c r="W54" s="5">
        <f t="shared" si="25"/>
        <v>0.44327767502175514</v>
      </c>
      <c r="X54" s="2">
        <f t="shared" si="21"/>
        <v>44791.370982607645</v>
      </c>
      <c r="Y54" s="1">
        <f t="shared" si="32"/>
        <v>-1558966790.5841265</v>
      </c>
      <c r="Z54" s="1">
        <f t="shared" si="33"/>
        <v>1003133457.2507931</v>
      </c>
      <c r="AA54" s="1">
        <f t="shared" si="34"/>
        <v>-555833333.33333337</v>
      </c>
    </row>
    <row r="55" spans="1:27" x14ac:dyDescent="0.3">
      <c r="A55">
        <v>230</v>
      </c>
      <c r="B55" s="4">
        <f t="shared" si="3"/>
        <v>-3.4212198325730914E-2</v>
      </c>
      <c r="C55" s="4">
        <f t="shared" si="4"/>
        <v>4.915969694901267E-2</v>
      </c>
      <c r="D55" s="4">
        <f t="shared" si="5"/>
        <v>5.9066971996049565E-3</v>
      </c>
      <c r="E55" s="4">
        <f t="shared" si="26"/>
        <v>5.6323605830839458</v>
      </c>
      <c r="F55" s="5">
        <f t="shared" si="27"/>
        <v>6.0183381345731417E-2</v>
      </c>
      <c r="G55" s="5">
        <f t="shared" si="28"/>
        <v>6.0183381345731417E-2</v>
      </c>
      <c r="H55" s="2">
        <f t="shared" si="29"/>
        <v>121560.92412866544</v>
      </c>
      <c r="I55" s="1">
        <f t="shared" si="30"/>
        <v>-8277862470.8409119</v>
      </c>
      <c r="J55" s="6">
        <f t="shared" si="31"/>
        <v>7388529137.5075788</v>
      </c>
      <c r="K55">
        <v>230</v>
      </c>
      <c r="L55" s="4">
        <f t="shared" si="10"/>
        <v>7.8746688778593352E-2</v>
      </c>
      <c r="M55" s="4">
        <f t="shared" si="11"/>
        <v>9.0191361038724077E-2</v>
      </c>
      <c r="N55" s="4">
        <f t="shared" si="12"/>
        <v>-1.2354552246553248E-2</v>
      </c>
      <c r="O55" s="5">
        <f t="shared" si="13"/>
        <v>0.12036676269146283</v>
      </c>
      <c r="P55" s="2">
        <f t="shared" si="14"/>
        <v>85956.553778682748</v>
      </c>
      <c r="Q55" s="1">
        <f t="shared" si="15"/>
        <v>-4138931235.4204559</v>
      </c>
      <c r="R55" s="6">
        <f t="shared" si="16"/>
        <v>3694264568.7537894</v>
      </c>
      <c r="S55">
        <v>230</v>
      </c>
      <c r="T55" s="4">
        <f t="shared" si="17"/>
        <v>-0.29186799907667815</v>
      </c>
      <c r="U55" s="4">
        <f t="shared" si="18"/>
        <v>-0.34783473646291463</v>
      </c>
      <c r="V55" s="4">
        <f t="shared" si="19"/>
        <v>0</v>
      </c>
      <c r="W55" s="5">
        <f t="shared" si="25"/>
        <v>0.45406600046166096</v>
      </c>
      <c r="X55" s="2">
        <f t="shared" si="21"/>
        <v>44256.064690000043</v>
      </c>
      <c r="Y55" s="1">
        <f t="shared" si="32"/>
        <v>-1535132964.2560678</v>
      </c>
      <c r="Z55" s="1">
        <f t="shared" si="33"/>
        <v>979299630.92273426</v>
      </c>
      <c r="AA55" s="1">
        <f t="shared" si="34"/>
        <v>-555833333.33333349</v>
      </c>
    </row>
    <row r="56" spans="1:27" x14ac:dyDescent="0.3">
      <c r="A56">
        <v>235</v>
      </c>
      <c r="B56" s="4">
        <f t="shared" si="3"/>
        <v>-3.100282545872754E-2</v>
      </c>
      <c r="C56" s="4">
        <f t="shared" si="4"/>
        <v>5.4107625699305328E-2</v>
      </c>
      <c r="D56" s="4">
        <f t="shared" si="5"/>
        <v>6.0784105441047346E-3</v>
      </c>
      <c r="E56" s="4">
        <f t="shared" si="26"/>
        <v>5.567170452817189</v>
      </c>
      <c r="F56" s="5">
        <f t="shared" si="27"/>
        <v>6.2655865008657691E-2</v>
      </c>
      <c r="G56" s="5">
        <f t="shared" si="28"/>
        <v>6.2655865008657691E-2</v>
      </c>
      <c r="H56" s="2">
        <f t="shared" si="29"/>
        <v>119138.30587261579</v>
      </c>
      <c r="I56" s="1">
        <f t="shared" si="30"/>
        <v>-7986301296.4318113</v>
      </c>
      <c r="J56" s="6">
        <f t="shared" si="31"/>
        <v>7096967963.0984783</v>
      </c>
      <c r="K56">
        <v>235</v>
      </c>
      <c r="L56" s="4">
        <f t="shared" si="10"/>
        <v>7.3462424238713145E-2</v>
      </c>
      <c r="M56" s="4">
        <f t="shared" si="11"/>
        <v>0.10040622502193212</v>
      </c>
      <c r="N56" s="4">
        <f t="shared" si="12"/>
        <v>-1.4996395625249528E-2</v>
      </c>
      <c r="O56" s="5">
        <f t="shared" si="13"/>
        <v>0.12531173001731538</v>
      </c>
      <c r="P56" s="2">
        <f t="shared" si="14"/>
        <v>84243.503981603702</v>
      </c>
      <c r="Q56" s="1">
        <f t="shared" si="15"/>
        <v>-3993150648.2159057</v>
      </c>
      <c r="R56" s="6">
        <f t="shared" si="16"/>
        <v>3548483981.5492392</v>
      </c>
      <c r="S56">
        <v>235</v>
      </c>
      <c r="T56" s="4">
        <f t="shared" si="17"/>
        <v>-0.26744561144535206</v>
      </c>
      <c r="U56" s="4">
        <f t="shared" si="18"/>
        <v>-0.38195191689760527</v>
      </c>
      <c r="V56" s="4">
        <f t="shared" si="19"/>
        <v>0</v>
      </c>
      <c r="W56" s="5">
        <f t="shared" si="25"/>
        <v>0.46627719427732406</v>
      </c>
      <c r="X56" s="2">
        <f t="shared" si="21"/>
        <v>43672.715650317623</v>
      </c>
      <c r="Y56" s="1">
        <f t="shared" si="32"/>
        <v>-1509486379.4700823</v>
      </c>
      <c r="Z56" s="1">
        <f t="shared" si="33"/>
        <v>953653046.13674891</v>
      </c>
      <c r="AA56" s="1">
        <f t="shared" si="34"/>
        <v>-555833333.33333337</v>
      </c>
    </row>
    <row r="57" spans="1:27" x14ac:dyDescent="0.3">
      <c r="A57">
        <v>240</v>
      </c>
      <c r="B57" s="4">
        <f t="shared" si="3"/>
        <v>-2.7346291878618117E-2</v>
      </c>
      <c r="C57" s="4">
        <f t="shared" si="4"/>
        <v>5.9210079225176494E-2</v>
      </c>
      <c r="D57" s="4">
        <f t="shared" si="5"/>
        <v>6.2334385849671936E-3</v>
      </c>
      <c r="E57" s="4">
        <f t="shared" si="26"/>
        <v>5.4594903780291668</v>
      </c>
      <c r="F57" s="5">
        <f t="shared" si="27"/>
        <v>6.5517241379310295E-2</v>
      </c>
      <c r="G57" s="5">
        <f t="shared" si="28"/>
        <v>6.5517241379310309E-2</v>
      </c>
      <c r="H57" s="2">
        <f t="shared" si="29"/>
        <v>116507.66106878682</v>
      </c>
      <c r="I57" s="1">
        <f t="shared" si="30"/>
        <v>-7676350877.1929855</v>
      </c>
      <c r="J57" s="6">
        <f t="shared" si="31"/>
        <v>6787017543.8596525</v>
      </c>
      <c r="K57">
        <v>240</v>
      </c>
      <c r="L57" s="4">
        <f t="shared" si="10"/>
        <v>6.7324250623921278E-2</v>
      </c>
      <c r="M57" s="4">
        <f t="shared" si="11"/>
        <v>0.11099939825406337</v>
      </c>
      <c r="N57" s="4">
        <f t="shared" si="12"/>
        <v>-1.7793665642090509E-2</v>
      </c>
      <c r="O57" s="5">
        <f t="shared" si="13"/>
        <v>0.13103448275862062</v>
      </c>
      <c r="P57" s="2">
        <f t="shared" si="14"/>
        <v>82383.357201923092</v>
      </c>
      <c r="Q57" s="1">
        <f t="shared" si="15"/>
        <v>-3838175438.5964928</v>
      </c>
      <c r="R57" s="6">
        <f t="shared" si="16"/>
        <v>3393508771.9298263</v>
      </c>
      <c r="S57">
        <v>240</v>
      </c>
      <c r="T57" s="4">
        <f t="shared" si="17"/>
        <v>-0.24000000000000021</v>
      </c>
      <c r="U57" s="4">
        <f t="shared" si="18"/>
        <v>-0.41569219381653039</v>
      </c>
      <c r="V57" s="4">
        <f t="shared" si="19"/>
        <v>0</v>
      </c>
      <c r="W57" s="5">
        <f t="shared" si="25"/>
        <v>0.48</v>
      </c>
      <c r="X57" s="2">
        <f t="shared" si="21"/>
        <v>43043.905233816527</v>
      </c>
      <c r="Y57" s="1">
        <f t="shared" si="32"/>
        <v>-1482222222.2222223</v>
      </c>
      <c r="Z57" s="1">
        <f t="shared" si="33"/>
        <v>926388888.88888896</v>
      </c>
      <c r="AA57" s="1">
        <f t="shared" si="34"/>
        <v>-555833333.33333337</v>
      </c>
    </row>
    <row r="58" spans="1:27" x14ac:dyDescent="0.3">
      <c r="A58">
        <v>245</v>
      </c>
      <c r="B58" s="4">
        <f t="shared" si="3"/>
        <v>-2.3179087977158855E-2</v>
      </c>
      <c r="C58" s="4">
        <f t="shared" si="4"/>
        <v>6.4488289462931461E-2</v>
      </c>
      <c r="D58" s="4">
        <f t="shared" si="5"/>
        <v>6.3693572452745645E-3</v>
      </c>
      <c r="E58" s="4">
        <f t="shared" si="26"/>
        <v>5.3101622399331889</v>
      </c>
      <c r="F58" s="5">
        <f t="shared" si="27"/>
        <v>6.882280369925102E-2</v>
      </c>
      <c r="G58" s="5">
        <f t="shared" si="28"/>
        <v>6.882280369925102E-2</v>
      </c>
      <c r="H58" s="2">
        <f t="shared" si="29"/>
        <v>113675.2988967672</v>
      </c>
      <c r="I58" s="1">
        <f t="shared" si="30"/>
        <v>-7350370122.9680138</v>
      </c>
      <c r="J58" s="6">
        <f t="shared" si="31"/>
        <v>6461036789.6346807</v>
      </c>
      <c r="K58">
        <v>245</v>
      </c>
      <c r="L58" s="4">
        <f t="shared" si="10"/>
        <v>6.0210731149212576E-2</v>
      </c>
      <c r="M58" s="4">
        <f t="shared" si="11"/>
        <v>0.12202321463437679</v>
      </c>
      <c r="N58" s="4">
        <f t="shared" si="12"/>
        <v>-2.0768153044327581E-2</v>
      </c>
      <c r="O58" s="5">
        <f t="shared" si="13"/>
        <v>0.13764560739850204</v>
      </c>
      <c r="P58" s="2">
        <f t="shared" si="14"/>
        <v>80380.574703311751</v>
      </c>
      <c r="Q58" s="1">
        <f t="shared" si="15"/>
        <v>-3675185061.4840069</v>
      </c>
      <c r="R58" s="6">
        <f t="shared" si="16"/>
        <v>3230518394.8173404</v>
      </c>
      <c r="S58">
        <v>245</v>
      </c>
      <c r="T58" s="4">
        <f t="shared" si="17"/>
        <v>-0.20933628797318135</v>
      </c>
      <c r="U58" s="4">
        <f t="shared" si="18"/>
        <v>-0.44892311827226966</v>
      </c>
      <c r="V58" s="4">
        <f t="shared" si="19"/>
        <v>0</v>
      </c>
      <c r="W58" s="5">
        <f t="shared" si="25"/>
        <v>0.4953318560134094</v>
      </c>
      <c r="X58" s="2">
        <f t="shared" si="21"/>
        <v>42372.506555037762</v>
      </c>
      <c r="Y58" s="1">
        <f t="shared" si="32"/>
        <v>-1453547989.2116923</v>
      </c>
      <c r="Z58" s="1">
        <f t="shared" si="33"/>
        <v>897714655.87835908</v>
      </c>
      <c r="AA58" s="1">
        <f t="shared" si="34"/>
        <v>-555833333.33333325</v>
      </c>
    </row>
    <row r="59" spans="1:27" x14ac:dyDescent="0.3">
      <c r="A59">
        <v>250</v>
      </c>
      <c r="B59" s="4">
        <f t="shared" si="3"/>
        <v>-1.8423952400833755E-2</v>
      </c>
      <c r="C59" s="4">
        <f t="shared" si="4"/>
        <v>6.9965052526578919E-2</v>
      </c>
      <c r="D59" s="4">
        <f t="shared" si="5"/>
        <v>6.4829872673637257E-3</v>
      </c>
      <c r="E59" s="4">
        <f t="shared" si="26"/>
        <v>5.1203515818140275</v>
      </c>
      <c r="F59" s="5">
        <f t="shared" si="27"/>
        <v>7.264006966560492E-2</v>
      </c>
      <c r="G59" s="5">
        <f t="shared" si="28"/>
        <v>7.2640069665604906E-2</v>
      </c>
      <c r="H59" s="2">
        <f t="shared" si="29"/>
        <v>110648.15055657987</v>
      </c>
      <c r="I59" s="1">
        <f t="shared" si="30"/>
        <v>-7010839944.1291161</v>
      </c>
      <c r="J59" s="6">
        <f t="shared" si="31"/>
        <v>6121506610.795783</v>
      </c>
      <c r="K59">
        <v>250</v>
      </c>
      <c r="L59" s="4">
        <f t="shared" si="10"/>
        <v>5.1973467098667125E-2</v>
      </c>
      <c r="M59" s="4">
        <f t="shared" si="11"/>
        <v>0.13353541428559812</v>
      </c>
      <c r="N59" s="4">
        <f t="shared" si="12"/>
        <v>-2.3945160960268955E-2</v>
      </c>
      <c r="O59" s="5">
        <f t="shared" si="13"/>
        <v>0.14528013933120981</v>
      </c>
      <c r="P59" s="2">
        <f t="shared" si="14"/>
        <v>78240.057584307695</v>
      </c>
      <c r="Q59" s="1">
        <f t="shared" si="15"/>
        <v>-3505419972.064558</v>
      </c>
      <c r="R59" s="6">
        <f t="shared" si="16"/>
        <v>3060753305.3978915</v>
      </c>
      <c r="S59">
        <v>250</v>
      </c>
      <c r="T59" s="4">
        <f t="shared" si="17"/>
        <v>-0.17524365585003041</v>
      </c>
      <c r="U59" s="4">
        <f t="shared" si="18"/>
        <v>-0.48147798735063574</v>
      </c>
      <c r="V59" s="4">
        <f t="shared" si="19"/>
        <v>0</v>
      </c>
      <c r="W59" s="5">
        <f t="shared" si="25"/>
        <v>0.51237817207498493</v>
      </c>
      <c r="X59" s="2">
        <f t="shared" si="21"/>
        <v>41661.6988451586</v>
      </c>
      <c r="Y59" s="1">
        <f t="shared" si="32"/>
        <v>-1423681908.665678</v>
      </c>
      <c r="Z59" s="1">
        <f t="shared" si="33"/>
        <v>867848575.33234477</v>
      </c>
      <c r="AA59" s="1">
        <f t="shared" si="34"/>
        <v>-555833333.33333325</v>
      </c>
    </row>
    <row r="60" spans="1:27" x14ac:dyDescent="0.3">
      <c r="A60">
        <v>255</v>
      </c>
      <c r="B60" s="4">
        <f t="shared" si="3"/>
        <v>-1.2986530510850993E-2</v>
      </c>
      <c r="C60" s="4">
        <f t="shared" si="4"/>
        <v>7.5664782556467164E-2</v>
      </c>
      <c r="D60" s="4">
        <f t="shared" si="5"/>
        <v>6.5701859420450055E-3</v>
      </c>
      <c r="E60" s="4">
        <f t="shared" si="26"/>
        <v>4.8915367341860083</v>
      </c>
      <c r="F60" s="5">
        <f t="shared" si="27"/>
        <v>7.7051778936892606E-2</v>
      </c>
      <c r="G60" s="5">
        <f t="shared" si="28"/>
        <v>7.7051778936892606E-2</v>
      </c>
      <c r="H60" s="2">
        <f t="shared" si="29"/>
        <v>107433.80321870625</v>
      </c>
      <c r="I60" s="1">
        <f t="shared" si="30"/>
        <v>-6660344370.351182</v>
      </c>
      <c r="J60" s="6">
        <f t="shared" si="31"/>
        <v>5771011037.017849</v>
      </c>
      <c r="K60">
        <v>255</v>
      </c>
      <c r="L60" s="4">
        <f t="shared" si="10"/>
        <v>4.2430474578352272E-2</v>
      </c>
      <c r="M60" s="4">
        <f t="shared" si="11"/>
        <v>0.14559981988485252</v>
      </c>
      <c r="N60" s="4">
        <f t="shared" si="12"/>
        <v>-2.7354228666028515E-2</v>
      </c>
      <c r="O60" s="5">
        <f t="shared" si="13"/>
        <v>0.15410355787378521</v>
      </c>
      <c r="P60" s="2">
        <f t="shared" si="14"/>
        <v>75967.17078460833</v>
      </c>
      <c r="Q60" s="1">
        <f t="shared" si="15"/>
        <v>-3330172185.175591</v>
      </c>
      <c r="R60" s="6">
        <f t="shared" si="16"/>
        <v>2885505518.5089245</v>
      </c>
      <c r="S60">
        <v>255</v>
      </c>
      <c r="T60" s="4">
        <f t="shared" si="17"/>
        <v>-0.13749789067717394</v>
      </c>
      <c r="U60" s="4">
        <f t="shared" si="18"/>
        <v>-0.51314911394076446</v>
      </c>
      <c r="V60" s="4">
        <f t="shared" si="19"/>
        <v>0</v>
      </c>
      <c r="W60" s="5">
        <f t="shared" si="25"/>
        <v>0.53125105466141309</v>
      </c>
      <c r="X60" s="2">
        <f t="shared" si="21"/>
        <v>40914.983713975351</v>
      </c>
      <c r="Y60" s="1">
        <f t="shared" si="32"/>
        <v>-1392851279.4907675</v>
      </c>
      <c r="Z60" s="1">
        <f t="shared" si="33"/>
        <v>837017946.15743411</v>
      </c>
      <c r="AA60" s="1">
        <f t="shared" si="34"/>
        <v>-555833333.33333337</v>
      </c>
    </row>
    <row r="61" spans="1:27" x14ac:dyDescent="0.3">
      <c r="A61">
        <v>260</v>
      </c>
      <c r="B61" s="4">
        <f t="shared" si="3"/>
        <v>-6.7510397034812987E-3</v>
      </c>
      <c r="C61" s="4">
        <f t="shared" si="4"/>
        <v>8.1613458996079816E-2</v>
      </c>
      <c r="D61" s="4">
        <f t="shared" si="5"/>
        <v>6.625567630986871E-3</v>
      </c>
      <c r="E61" s="4">
        <f t="shared" si="26"/>
        <v>4.6254952417058623</v>
      </c>
      <c r="F61" s="5">
        <f t="shared" si="27"/>
        <v>8.2159791703822885E-2</v>
      </c>
      <c r="G61" s="5">
        <f t="shared" si="28"/>
        <v>8.2159791703822885E-2</v>
      </c>
      <c r="H61" s="2">
        <f t="shared" si="29"/>
        <v>104040.54547389052</v>
      </c>
      <c r="I61" s="1">
        <f t="shared" si="30"/>
        <v>-6301550884.5856733</v>
      </c>
      <c r="J61" s="6">
        <f t="shared" si="31"/>
        <v>5412217551.2523403</v>
      </c>
      <c r="K61">
        <v>260</v>
      </c>
      <c r="L61" s="4">
        <f t="shared" si="10"/>
        <v>3.1357565809882013E-2</v>
      </c>
      <c r="M61" s="4">
        <f t="shared" si="11"/>
        <v>0.15828697454095506</v>
      </c>
      <c r="N61" s="4">
        <f t="shared" si="12"/>
        <v>-3.1030021727549921E-2</v>
      </c>
      <c r="O61" s="5">
        <f t="shared" si="13"/>
        <v>0.16431958340764577</v>
      </c>
      <c r="P61" s="2">
        <f t="shared" si="14"/>
        <v>73567.77522293535</v>
      </c>
      <c r="Q61" s="1">
        <f t="shared" si="15"/>
        <v>-3150775442.2928367</v>
      </c>
      <c r="R61" s="6">
        <f t="shared" si="16"/>
        <v>2706108775.6261702</v>
      </c>
      <c r="S61">
        <v>260</v>
      </c>
      <c r="T61" s="4">
        <f t="shared" si="17"/>
        <v>-9.5865474155977362E-2</v>
      </c>
      <c r="U61" s="4">
        <f t="shared" si="18"/>
        <v>-0.54368012070982585</v>
      </c>
      <c r="V61" s="4">
        <f t="shared" si="19"/>
        <v>0</v>
      </c>
      <c r="W61" s="5">
        <f t="shared" si="25"/>
        <v>0.55206726292201136</v>
      </c>
      <c r="X61" s="2">
        <f t="shared" si="21"/>
        <v>40136.203309672681</v>
      </c>
      <c r="Y61" s="1">
        <f t="shared" si="32"/>
        <v>-1361290741.3910236</v>
      </c>
      <c r="Z61" s="1">
        <f t="shared" si="33"/>
        <v>805457408.05769014</v>
      </c>
      <c r="AA61" s="1">
        <f t="shared" si="34"/>
        <v>-555833333.33333349</v>
      </c>
    </row>
    <row r="62" spans="1:27" x14ac:dyDescent="0.3">
      <c r="A62">
        <v>265</v>
      </c>
      <c r="B62" s="4">
        <f t="shared" si="3"/>
        <v>4.2538780822727086E-4</v>
      </c>
      <c r="C62" s="4">
        <f t="shared" si="4"/>
        <v>8.7838390720161197E-2</v>
      </c>
      <c r="D62" s="4">
        <f t="shared" si="5"/>
        <v>6.6421263344071235E-3</v>
      </c>
      <c r="E62" s="4">
        <f t="shared" si="26"/>
        <v>4.3242878574546539</v>
      </c>
      <c r="F62" s="5">
        <f t="shared" si="27"/>
        <v>8.8090190607906585E-2</v>
      </c>
      <c r="G62" s="5">
        <f t="shared" si="28"/>
        <v>8.8090190607906585E-2</v>
      </c>
      <c r="H62" s="2">
        <f t="shared" si="29"/>
        <v>100477.42819729578</v>
      </c>
      <c r="I62" s="1">
        <f t="shared" si="30"/>
        <v>-5937190121.9046974</v>
      </c>
      <c r="J62" s="6">
        <f t="shared" si="31"/>
        <v>5047856788.5713644</v>
      </c>
      <c r="K62">
        <v>265</v>
      </c>
      <c r="L62" s="4">
        <f t="shared" si="10"/>
        <v>1.8477064052667407E-2</v>
      </c>
      <c r="M62" s="4">
        <f t="shared" si="11"/>
        <v>0.17167464791725962</v>
      </c>
      <c r="N62" s="4">
        <f t="shared" si="12"/>
        <v>-3.5013427307646366E-2</v>
      </c>
      <c r="O62" s="5">
        <f t="shared" si="13"/>
        <v>0.17618038121581317</v>
      </c>
      <c r="P62" s="2">
        <f t="shared" si="14"/>
        <v>71048.270834492272</v>
      </c>
      <c r="Q62" s="1">
        <f t="shared" si="15"/>
        <v>-2968595060.9523487</v>
      </c>
      <c r="R62" s="6">
        <f t="shared" si="16"/>
        <v>2523928394.2856822</v>
      </c>
      <c r="S62">
        <v>265</v>
      </c>
      <c r="T62" s="4">
        <f t="shared" si="17"/>
        <v>-5.0109768598056513E-2</v>
      </c>
      <c r="U62" s="4">
        <f t="shared" si="18"/>
        <v>-0.57275727595505332</v>
      </c>
      <c r="V62" s="4">
        <f t="shared" si="19"/>
        <v>0</v>
      </c>
      <c r="W62" s="5">
        <f t="shared" si="25"/>
        <v>0.57494511570097184</v>
      </c>
      <c r="X62" s="2">
        <f t="shared" si="21"/>
        <v>39329.560276840792</v>
      </c>
      <c r="Y62" s="1">
        <f t="shared" si="32"/>
        <v>-1329240489.1181598</v>
      </c>
      <c r="Z62" s="1">
        <f t="shared" si="33"/>
        <v>773407155.78482652</v>
      </c>
      <c r="AA62" s="1">
        <f t="shared" si="34"/>
        <v>-555833333.33333325</v>
      </c>
    </row>
    <row r="63" spans="1:27" x14ac:dyDescent="0.3">
      <c r="A63">
        <v>270</v>
      </c>
      <c r="B63" s="4">
        <f t="shared" si="3"/>
        <v>8.72013406546936E-3</v>
      </c>
      <c r="C63" s="4">
        <f t="shared" si="4"/>
        <v>9.4367672497580685E-2</v>
      </c>
      <c r="D63" s="4">
        <f t="shared" si="5"/>
        <v>6.6107222956031057E-3</v>
      </c>
      <c r="E63" s="4">
        <f t="shared" si="26"/>
        <v>3.9902403981621544</v>
      </c>
      <c r="F63" s="5">
        <f t="shared" si="27"/>
        <v>9.4999999999999946E-2</v>
      </c>
      <c r="G63" s="5">
        <f t="shared" si="28"/>
        <v>9.4999999999999946E-2</v>
      </c>
      <c r="H63" s="2">
        <f t="shared" si="29"/>
        <v>96754.346200943008</v>
      </c>
      <c r="I63" s="1">
        <f t="shared" si="30"/>
        <v>-5570035087.7193003</v>
      </c>
      <c r="J63" s="6">
        <f t="shared" si="31"/>
        <v>4680701754.3859673</v>
      </c>
      <c r="K63">
        <v>270</v>
      </c>
      <c r="L63" s="4">
        <f t="shared" si="10"/>
        <v>3.4429325894372786E-3</v>
      </c>
      <c r="M63" s="4">
        <f t="shared" si="11"/>
        <v>0.18584804413942296</v>
      </c>
      <c r="N63" s="4">
        <f t="shared" si="12"/>
        <v>-3.9352899572148978E-2</v>
      </c>
      <c r="O63" s="5">
        <f t="shared" si="13"/>
        <v>0.18999999999999989</v>
      </c>
      <c r="P63" s="2">
        <f t="shared" si="14"/>
        <v>68415.654307957666</v>
      </c>
      <c r="Q63" s="1">
        <f t="shared" si="15"/>
        <v>-2785017543.8596501</v>
      </c>
      <c r="R63" s="6">
        <f t="shared" si="16"/>
        <v>2340350877.1929836</v>
      </c>
      <c r="S63">
        <v>270</v>
      </c>
      <c r="T63" s="4">
        <f t="shared" si="17"/>
        <v>-1.1026336094177581E-16</v>
      </c>
      <c r="U63" s="4">
        <f t="shared" si="18"/>
        <v>-0.60000000000000009</v>
      </c>
      <c r="V63" s="4">
        <f t="shared" si="19"/>
        <v>0</v>
      </c>
      <c r="W63" s="5">
        <f t="shared" si="25"/>
        <v>0.60000000000000009</v>
      </c>
      <c r="X63" s="2">
        <f t="shared" si="21"/>
        <v>38499.63924794909</v>
      </c>
      <c r="Y63" s="1">
        <f t="shared" si="32"/>
        <v>-1296944444.4444442</v>
      </c>
      <c r="Z63" s="1">
        <f t="shared" si="33"/>
        <v>741111111.11111093</v>
      </c>
      <c r="AA63" s="1">
        <f t="shared" si="34"/>
        <v>-555833333.33333325</v>
      </c>
    </row>
    <row r="64" spans="1:27" x14ac:dyDescent="0.3">
      <c r="A64">
        <v>275</v>
      </c>
      <c r="B64" s="4">
        <f t="shared" si="3"/>
        <v>1.8354909542594468E-2</v>
      </c>
      <c r="C64" s="4">
        <f t="shared" si="4"/>
        <v>0.10122913124964453</v>
      </c>
      <c r="D64" s="4">
        <f t="shared" si="5"/>
        <v>6.5193782912839997E-3</v>
      </c>
      <c r="E64" s="4">
        <f t="shared" si="26"/>
        <v>3.6259237674226985</v>
      </c>
      <c r="F64" s="5">
        <f t="shared" si="27"/>
        <v>0.10308609028952183</v>
      </c>
      <c r="G64" s="5">
        <f t="shared" si="28"/>
        <v>0.10308609028952184</v>
      </c>
      <c r="H64" s="2">
        <f t="shared" si="29"/>
        <v>92882.148125466701</v>
      </c>
      <c r="I64" s="1">
        <f t="shared" si="30"/>
        <v>-5202880053.5339022</v>
      </c>
      <c r="J64" s="6">
        <f t="shared" si="31"/>
        <v>4313546720.2005692</v>
      </c>
      <c r="K64">
        <v>275</v>
      </c>
      <c r="L64" s="4">
        <f t="shared" si="10"/>
        <v>-1.4178944480708191E-2</v>
      </c>
      <c r="M64" s="4">
        <f t="shared" si="11"/>
        <v>0.20089942062211941</v>
      </c>
      <c r="N64" s="4">
        <f t="shared" si="12"/>
        <v>-4.410610356659881E-2</v>
      </c>
      <c r="O64" s="5">
        <f t="shared" si="13"/>
        <v>0.20617218057904368</v>
      </c>
      <c r="P64" s="2">
        <f t="shared" si="14"/>
        <v>65677.596790690877</v>
      </c>
      <c r="Q64" s="1">
        <f t="shared" si="15"/>
        <v>-2601440026.7669511</v>
      </c>
      <c r="R64" s="6">
        <f t="shared" si="16"/>
        <v>2156773360.1002846</v>
      </c>
      <c r="S64">
        <v>275</v>
      </c>
      <c r="T64" s="4">
        <f t="shared" si="17"/>
        <v>5.4676114325910012E-2</v>
      </c>
      <c r="U64" s="4">
        <f t="shared" si="18"/>
        <v>-0.62495084645691223</v>
      </c>
      <c r="V64" s="4">
        <f t="shared" si="19"/>
        <v>0</v>
      </c>
      <c r="W64" s="5">
        <f t="shared" si="25"/>
        <v>0.6273380571629551</v>
      </c>
      <c r="X64" s="2">
        <f t="shared" si="21"/>
        <v>37651.429360315007</v>
      </c>
      <c r="Y64" s="1">
        <f t="shared" si="32"/>
        <v>-1264648399.7707288</v>
      </c>
      <c r="Z64" s="1">
        <f t="shared" si="33"/>
        <v>708815066.43739545</v>
      </c>
      <c r="AA64" s="1">
        <f t="shared" si="34"/>
        <v>-555833333.33333337</v>
      </c>
    </row>
    <row r="65" spans="1:27" x14ac:dyDescent="0.3">
      <c r="A65">
        <v>280</v>
      </c>
      <c r="B65" s="4">
        <f t="shared" si="3"/>
        <v>2.9608786829388105E-2</v>
      </c>
      <c r="C65" s="4">
        <f t="shared" si="4"/>
        <v>0.10844843172321723</v>
      </c>
      <c r="D65" s="4">
        <f t="shared" si="5"/>
        <v>6.3523074965117724E-3</v>
      </c>
      <c r="E65" s="4">
        <f t="shared" si="26"/>
        <v>3.2341324533571001</v>
      </c>
      <c r="F65" s="5">
        <f t="shared" si="27"/>
        <v>0.11259704441619992</v>
      </c>
      <c r="G65" s="5">
        <f t="shared" si="28"/>
        <v>0.11259704441619992</v>
      </c>
      <c r="H65" s="2">
        <f t="shared" si="29"/>
        <v>88872.785007780578</v>
      </c>
      <c r="I65" s="1">
        <f t="shared" si="30"/>
        <v>-4838519290.8529272</v>
      </c>
      <c r="J65" s="6">
        <f t="shared" si="31"/>
        <v>3949185957.5195937</v>
      </c>
      <c r="K65">
        <v>280</v>
      </c>
      <c r="L65" s="4">
        <f t="shared" si="10"/>
        <v>-3.4937059123434255E-2</v>
      </c>
      <c r="M65" s="4">
        <f t="shared" si="11"/>
        <v>0.2169266149936519</v>
      </c>
      <c r="N65" s="4">
        <f t="shared" si="12"/>
        <v>-4.9341901587356345E-2</v>
      </c>
      <c r="O65" s="5">
        <f t="shared" si="13"/>
        <v>0.22519408883239983</v>
      </c>
      <c r="P65" s="2">
        <f t="shared" si="14"/>
        <v>62842.548941935776</v>
      </c>
      <c r="Q65" s="1">
        <f t="shared" si="15"/>
        <v>-2419259645.4264636</v>
      </c>
      <c r="R65" s="6">
        <f t="shared" si="16"/>
        <v>1974592978.7597969</v>
      </c>
      <c r="S65">
        <v>280</v>
      </c>
      <c r="T65" s="4">
        <f t="shared" si="17"/>
        <v>0.11409511062010173</v>
      </c>
      <c r="U65" s="4">
        <f t="shared" si="18"/>
        <v>-0.64706552656705585</v>
      </c>
      <c r="V65" s="4">
        <f t="shared" si="19"/>
        <v>0</v>
      </c>
      <c r="W65" s="5">
        <f t="shared" si="25"/>
        <v>0.65704755531005099</v>
      </c>
      <c r="X65" s="2">
        <f t="shared" si="21"/>
        <v>36790.346944940109</v>
      </c>
      <c r="Y65" s="1">
        <f t="shared" si="32"/>
        <v>-1232598147.4978654</v>
      </c>
      <c r="Z65" s="1">
        <f t="shared" si="33"/>
        <v>676764814.16453207</v>
      </c>
      <c r="AA65" s="1">
        <f t="shared" si="34"/>
        <v>-555833333.33333337</v>
      </c>
    </row>
    <row r="66" spans="1:27" x14ac:dyDescent="0.3">
      <c r="A66">
        <v>285</v>
      </c>
      <c r="B66" s="4">
        <f t="shared" si="3"/>
        <v>4.2835578331498057E-2</v>
      </c>
      <c r="C66" s="4">
        <f t="shared" si="4"/>
        <v>0.11604580031997315</v>
      </c>
      <c r="D66" s="4">
        <f t="shared" si="5"/>
        <v>6.0885603646063206E-3</v>
      </c>
      <c r="E66" s="4">
        <f t="shared" si="26"/>
        <v>2.8178617938668467</v>
      </c>
      <c r="F66" s="5">
        <f t="shared" si="27"/>
        <v>0.12384904162007246</v>
      </c>
      <c r="G66" s="5">
        <f t="shared" si="28"/>
        <v>0.12384904162007247</v>
      </c>
      <c r="H66" s="2">
        <f t="shared" si="29"/>
        <v>84739.512292130705</v>
      </c>
      <c r="I66" s="1">
        <f t="shared" si="30"/>
        <v>-4479725805.0874186</v>
      </c>
      <c r="J66" s="6">
        <f t="shared" si="31"/>
        <v>3590392471.7540855</v>
      </c>
      <c r="K66">
        <v>285</v>
      </c>
      <c r="L66" s="4">
        <f t="shared" si="10"/>
        <v>-5.9529505865066272E-2</v>
      </c>
      <c r="M66" s="4">
        <f t="shared" si="11"/>
        <v>0.23402961491081417</v>
      </c>
      <c r="N66" s="4">
        <f t="shared" si="12"/>
        <v>-5.5142703207213643E-2</v>
      </c>
      <c r="O66" s="5">
        <f t="shared" si="13"/>
        <v>0.24769808324014495</v>
      </c>
      <c r="P66" s="2">
        <f t="shared" si="14"/>
        <v>59919.883776206421</v>
      </c>
      <c r="Q66" s="1">
        <f t="shared" si="15"/>
        <v>-2239862902.5437093</v>
      </c>
      <c r="R66" s="6">
        <f t="shared" si="16"/>
        <v>1795196235.8770428</v>
      </c>
      <c r="S66">
        <v>285</v>
      </c>
      <c r="T66" s="4">
        <f t="shared" si="17"/>
        <v>0.17837482844585298</v>
      </c>
      <c r="U66" s="4">
        <f t="shared" si="18"/>
        <v>-0.66570392255130684</v>
      </c>
      <c r="V66" s="4">
        <f t="shared" si="19"/>
        <v>0</v>
      </c>
      <c r="W66" s="5">
        <f t="shared" si="25"/>
        <v>0.68918741422292662</v>
      </c>
      <c r="X66" s="2">
        <f t="shared" si="21"/>
        <v>35922.257057840565</v>
      </c>
      <c r="Y66" s="1">
        <f t="shared" si="32"/>
        <v>-1201037609.3981214</v>
      </c>
      <c r="Z66" s="1">
        <f t="shared" si="33"/>
        <v>645204276.0647881</v>
      </c>
      <c r="AA66" s="1">
        <f t="shared" si="34"/>
        <v>-555833333.33333325</v>
      </c>
    </row>
    <row r="67" spans="1:27" x14ac:dyDescent="0.3">
      <c r="A67">
        <v>290</v>
      </c>
      <c r="B67" s="4">
        <f t="shared" si="3"/>
        <v>5.8487042091692934E-2</v>
      </c>
      <c r="C67" s="4">
        <f t="shared" si="4"/>
        <v>0.12403047591861266</v>
      </c>
      <c r="D67" s="4">
        <f t="shared" si="5"/>
        <v>5.7001285434665604E-3</v>
      </c>
      <c r="E67" s="4">
        <f t="shared" si="26"/>
        <v>2.3802842787337557</v>
      </c>
      <c r="F67" s="5">
        <f t="shared" si="27"/>
        <v>0.1372471657800082</v>
      </c>
      <c r="G67" s="5">
        <f t="shared" si="28"/>
        <v>0.1372471657800082</v>
      </c>
      <c r="H67" s="2">
        <f t="shared" si="29"/>
        <v>80497.166384614407</v>
      </c>
      <c r="I67" s="1">
        <f t="shared" si="30"/>
        <v>-4129230231.3094816</v>
      </c>
      <c r="J67" s="6">
        <f t="shared" si="31"/>
        <v>3239896897.9761481</v>
      </c>
      <c r="K67">
        <v>290</v>
      </c>
      <c r="L67" s="4">
        <f t="shared" si="10"/>
        <v>-8.8851280823758469E-2</v>
      </c>
      <c r="M67" s="4">
        <f t="shared" si="11"/>
        <v>0.25230368343982418</v>
      </c>
      <c r="N67" s="4">
        <f t="shared" si="12"/>
        <v>-6.1607136577305877E-2</v>
      </c>
      <c r="O67" s="5">
        <f t="shared" si="13"/>
        <v>0.2744943315600164</v>
      </c>
      <c r="P67" s="2">
        <f t="shared" si="14"/>
        <v>56920.092216862649</v>
      </c>
      <c r="Q67" s="1">
        <f t="shared" si="15"/>
        <v>-2064615115.6547408</v>
      </c>
      <c r="R67" s="6">
        <f t="shared" si="16"/>
        <v>1619948448.9880741</v>
      </c>
      <c r="S67">
        <v>290</v>
      </c>
      <c r="T67" s="4">
        <f t="shared" si="17"/>
        <v>0.24754472760245388</v>
      </c>
      <c r="U67" s="4">
        <f t="shared" si="18"/>
        <v>-0.68012354939278685</v>
      </c>
      <c r="V67" s="4">
        <f t="shared" si="19"/>
        <v>0</v>
      </c>
      <c r="W67" s="5">
        <f t="shared" si="25"/>
        <v>0.723772363801227</v>
      </c>
      <c r="X67" s="2">
        <f t="shared" si="21"/>
        <v>35053.491891390135</v>
      </c>
      <c r="Y67" s="1">
        <f t="shared" si="32"/>
        <v>-1170206980.2232103</v>
      </c>
      <c r="Z67" s="1">
        <f t="shared" si="33"/>
        <v>614373646.88987696</v>
      </c>
      <c r="AA67" s="1">
        <f t="shared" si="34"/>
        <v>-555833333.33333337</v>
      </c>
    </row>
    <row r="68" spans="1:27" x14ac:dyDescent="0.3">
      <c r="A68">
        <v>295</v>
      </c>
      <c r="B68" s="4">
        <f t="shared" si="3"/>
        <v>7.7143791719397961E-2</v>
      </c>
      <c r="C68" s="4">
        <f t="shared" si="4"/>
        <v>0.13239141369012558</v>
      </c>
      <c r="D68" s="4">
        <f t="shared" si="5"/>
        <v>5.1492746928854718E-3</v>
      </c>
      <c r="E68" s="4">
        <f t="shared" si="26"/>
        <v>1.9247251260264302</v>
      </c>
      <c r="F68" s="5">
        <f t="shared" si="27"/>
        <v>0.15331394603746462</v>
      </c>
      <c r="G68" s="5">
        <f t="shared" si="28"/>
        <v>0.15331394603746462</v>
      </c>
      <c r="H68" s="2">
        <f t="shared" si="29"/>
        <v>76162.546164597865</v>
      </c>
      <c r="I68" s="1">
        <f t="shared" si="30"/>
        <v>-3789700052.4705834</v>
      </c>
      <c r="J68" s="6">
        <f t="shared" si="31"/>
        <v>2900366719.1372499</v>
      </c>
      <c r="K68">
        <v>295</v>
      </c>
      <c r="L68" s="4">
        <f t="shared" si="10"/>
        <v>-0.12405770254417808</v>
      </c>
      <c r="M68" s="4">
        <f t="shared" si="11"/>
        <v>0.27182648102399815</v>
      </c>
      <c r="N68" s="4">
        <f t="shared" si="12"/>
        <v>-6.8852849264824628E-2</v>
      </c>
      <c r="O68" s="5">
        <f t="shared" si="13"/>
        <v>0.30662789207492924</v>
      </c>
      <c r="P68" s="2">
        <f t="shared" si="14"/>
        <v>53855.052865420621</v>
      </c>
      <c r="Q68" s="1">
        <f t="shared" si="15"/>
        <v>-1894850026.2352917</v>
      </c>
      <c r="R68" s="6">
        <f t="shared" si="16"/>
        <v>1450183359.568625</v>
      </c>
      <c r="S68">
        <v>295</v>
      </c>
      <c r="T68" s="4">
        <f t="shared" si="17"/>
        <v>0.3215086759204463</v>
      </c>
      <c r="U68" s="4">
        <f t="shared" si="18"/>
        <v>-0.68947758051526165</v>
      </c>
      <c r="V68" s="4">
        <f t="shared" si="19"/>
        <v>0</v>
      </c>
      <c r="W68" s="5">
        <f t="shared" si="25"/>
        <v>0.76075433796022329</v>
      </c>
      <c r="X68" s="2">
        <f t="shared" si="21"/>
        <v>34190.86329251904</v>
      </c>
      <c r="Y68" s="1">
        <f t="shared" si="32"/>
        <v>-1140340899.6771963</v>
      </c>
      <c r="Z68" s="1">
        <f t="shared" si="33"/>
        <v>584507566.34386289</v>
      </c>
      <c r="AA68" s="1">
        <f t="shared" si="34"/>
        <v>-555833333.33333337</v>
      </c>
    </row>
    <row r="69" spans="1:27" x14ac:dyDescent="0.3">
      <c r="A69">
        <v>300</v>
      </c>
      <c r="B69" s="4">
        <f t="shared" si="3"/>
        <v>9.9556069953093421E-2</v>
      </c>
      <c r="C69" s="4">
        <f t="shared" si="4"/>
        <v>0.14108179723877098</v>
      </c>
      <c r="D69" s="4">
        <f t="shared" si="5"/>
        <v>4.384765350019108E-3</v>
      </c>
      <c r="E69" s="4">
        <f t="shared" si="26"/>
        <v>1.4546373335939358</v>
      </c>
      <c r="F69" s="5">
        <f t="shared" si="27"/>
        <v>0.1727272727272727</v>
      </c>
      <c r="G69" s="5">
        <f t="shared" si="28"/>
        <v>0.17272727272727273</v>
      </c>
      <c r="H69" s="2">
        <f t="shared" si="29"/>
        <v>71754.943591536343</v>
      </c>
      <c r="I69" s="1">
        <f t="shared" si="30"/>
        <v>-3463719298.2456145</v>
      </c>
      <c r="J69" s="6">
        <f t="shared" si="31"/>
        <v>2574385964.912281</v>
      </c>
      <c r="K69">
        <v>300</v>
      </c>
      <c r="L69" s="4">
        <f t="shared" si="10"/>
        <v>-0.16664878042317427</v>
      </c>
      <c r="M69" s="4">
        <f t="shared" si="11"/>
        <v>0.29263477721525827</v>
      </c>
      <c r="N69" s="4">
        <f t="shared" si="12"/>
        <v>-7.7018920551066045E-2</v>
      </c>
      <c r="O69" s="5">
        <f t="shared" si="13"/>
        <v>0.34545454545454546</v>
      </c>
      <c r="P69" s="2">
        <f t="shared" si="14"/>
        <v>50738.407197233544</v>
      </c>
      <c r="Q69" s="1">
        <f t="shared" si="15"/>
        <v>-1731859649.1228073</v>
      </c>
      <c r="R69" s="6">
        <f t="shared" si="16"/>
        <v>1287192982.4561405</v>
      </c>
      <c r="S69">
        <v>300</v>
      </c>
      <c r="T69" s="4">
        <f t="shared" si="17"/>
        <v>0.40000000000000019</v>
      </c>
      <c r="U69" s="4">
        <f t="shared" si="18"/>
        <v>-0.69282032302755103</v>
      </c>
      <c r="V69" s="4">
        <f t="shared" si="19"/>
        <v>0</v>
      </c>
      <c r="W69" s="5">
        <f t="shared" si="25"/>
        <v>0.80000000000000016</v>
      </c>
      <c r="X69" s="2">
        <f t="shared" si="21"/>
        <v>33341.665625260328</v>
      </c>
      <c r="Y69" s="1">
        <f t="shared" si="32"/>
        <v>-1111666666.6666665</v>
      </c>
      <c r="Z69" s="1">
        <f t="shared" si="33"/>
        <v>555833333.33333313</v>
      </c>
      <c r="AA69" s="1">
        <f t="shared" si="34"/>
        <v>-555833333.33333337</v>
      </c>
    </row>
    <row r="70" spans="1:27" x14ac:dyDescent="0.3">
      <c r="A70">
        <v>305</v>
      </c>
      <c r="B70" s="4">
        <f t="shared" si="3"/>
        <v>0.12669631841286547</v>
      </c>
      <c r="C70" s="4">
        <f t="shared" si="4"/>
        <v>0.1499933103545317</v>
      </c>
      <c r="D70" s="4">
        <f t="shared" si="5"/>
        <v>3.3365766264213132E-3</v>
      </c>
      <c r="E70" s="4">
        <f t="shared" si="26"/>
        <v>0.97357636796363356</v>
      </c>
      <c r="F70" s="5">
        <f t="shared" si="27"/>
        <v>0.19636976089527899</v>
      </c>
      <c r="G70" s="5">
        <f t="shared" si="28"/>
        <v>0.19636976089527899</v>
      </c>
      <c r="H70" s="2">
        <f t="shared" si="29"/>
        <v>67296.887679497537</v>
      </c>
      <c r="I70" s="1">
        <f t="shared" si="30"/>
        <v>-3153768879.0067873</v>
      </c>
      <c r="J70" s="6">
        <f t="shared" si="31"/>
        <v>2264435545.6734538</v>
      </c>
      <c r="K70">
        <v>305</v>
      </c>
      <c r="L70" s="4">
        <f t="shared" si="10"/>
        <v>-0.21857925867952369</v>
      </c>
      <c r="M70" s="4">
        <f t="shared" si="11"/>
        <v>0.31468317287184477</v>
      </c>
      <c r="N70" s="4">
        <f t="shared" si="12"/>
        <v>-8.6266681648795848E-2</v>
      </c>
      <c r="O70" s="5">
        <f t="shared" si="13"/>
        <v>0.39273952179055799</v>
      </c>
      <c r="P70" s="2">
        <f t="shared" si="14"/>
        <v>47586.085630922134</v>
      </c>
      <c r="Q70" s="1">
        <f t="shared" si="15"/>
        <v>-1576884439.5033937</v>
      </c>
      <c r="R70" s="6">
        <f t="shared" si="16"/>
        <v>1132217772.8367269</v>
      </c>
      <c r="S70">
        <v>305</v>
      </c>
      <c r="T70" s="4">
        <f t="shared" si="17"/>
        <v>0.48252969255536327</v>
      </c>
      <c r="U70" s="4">
        <f t="shared" si="18"/>
        <v>-0.68912381861682737</v>
      </c>
      <c r="V70" s="4">
        <f t="shared" si="19"/>
        <v>0</v>
      </c>
      <c r="W70" s="5">
        <f t="shared" si="25"/>
        <v>0.84126484627768172</v>
      </c>
      <c r="X70" s="2">
        <f t="shared" si="21"/>
        <v>32513.664084057749</v>
      </c>
      <c r="Y70" s="1">
        <f t="shared" si="32"/>
        <v>-1084402509.4188068</v>
      </c>
      <c r="Z70" s="1">
        <f t="shared" si="33"/>
        <v>528569176.08547342</v>
      </c>
      <c r="AA70" s="1">
        <f t="shared" si="34"/>
        <v>-555833333.33333337</v>
      </c>
    </row>
    <row r="71" spans="1:27" x14ac:dyDescent="0.3">
      <c r="A71">
        <v>310</v>
      </c>
      <c r="B71" s="4">
        <f t="shared" si="3"/>
        <v>0.15982370703288976</v>
      </c>
      <c r="C71" s="4">
        <f t="shared" si="4"/>
        <v>0.15891352740297185</v>
      </c>
      <c r="D71" s="4">
        <f t="shared" si="5"/>
        <v>1.9085581283934863E-3</v>
      </c>
      <c r="E71" s="4">
        <f t="shared" si="26"/>
        <v>0.48517461571165615</v>
      </c>
      <c r="F71" s="5">
        <f t="shared" si="27"/>
        <v>0.22539025958439179</v>
      </c>
      <c r="G71" s="5">
        <f t="shared" si="28"/>
        <v>0.22539025958439179</v>
      </c>
      <c r="H71" s="2">
        <f t="shared" si="29"/>
        <v>62815.195156337053</v>
      </c>
      <c r="I71" s="1">
        <f t="shared" si="30"/>
        <v>-2862207704.5976882</v>
      </c>
      <c r="J71" s="6">
        <f t="shared" si="31"/>
        <v>1972874371.2643549</v>
      </c>
      <c r="K71">
        <v>310</v>
      </c>
      <c r="L71" s="4">
        <f t="shared" si="10"/>
        <v>-0.28239612130844388</v>
      </c>
      <c r="M71" s="4">
        <f t="shared" si="11"/>
        <v>0.33777188689364729</v>
      </c>
      <c r="N71" s="4">
        <f t="shared" si="12"/>
        <v>-9.6776337791476263E-2</v>
      </c>
      <c r="O71" s="5">
        <f t="shared" si="13"/>
        <v>0.45078051916878359</v>
      </c>
      <c r="P71" s="2">
        <f t="shared" si="14"/>
        <v>44417.050456602301</v>
      </c>
      <c r="Q71" s="1">
        <f t="shared" si="15"/>
        <v>-1431103852.2988441</v>
      </c>
      <c r="R71" s="6">
        <f t="shared" si="16"/>
        <v>986437185.63217747</v>
      </c>
      <c r="S71">
        <v>310</v>
      </c>
      <c r="T71" s="4">
        <f t="shared" si="17"/>
        <v>0.56833045227777346</v>
      </c>
      <c r="U71" s="4">
        <f t="shared" si="18"/>
        <v>-0.67730985828272894</v>
      </c>
      <c r="V71" s="4">
        <f t="shared" si="19"/>
        <v>0</v>
      </c>
      <c r="W71" s="5">
        <f t="shared" si="25"/>
        <v>0.88416522613888682</v>
      </c>
      <c r="X71" s="2">
        <f t="shared" si="21"/>
        <v>31715.062393111821</v>
      </c>
      <c r="Y71" s="1">
        <f t="shared" si="32"/>
        <v>-1058755924.6328212</v>
      </c>
      <c r="Z71" s="1">
        <f t="shared" si="33"/>
        <v>502922591.29948783</v>
      </c>
      <c r="AA71" s="1">
        <f t="shared" si="34"/>
        <v>-555833333.33333337</v>
      </c>
    </row>
    <row r="72" spans="1:27" x14ac:dyDescent="0.3">
      <c r="A72">
        <v>315</v>
      </c>
      <c r="B72" s="4">
        <f t="shared" si="3"/>
        <v>0.20055498981343634</v>
      </c>
      <c r="C72" s="4">
        <f t="shared" si="4"/>
        <v>0.16745580514253688</v>
      </c>
      <c r="D72" s="4">
        <f t="shared" si="5"/>
        <v>-3.1393007244528981E-5</v>
      </c>
      <c r="E72" s="4">
        <f t="shared" si="26"/>
        <v>-6.8843109386476789E-3</v>
      </c>
      <c r="F72" s="5">
        <f t="shared" si="27"/>
        <v>0.26127332738058767</v>
      </c>
      <c r="G72" s="5">
        <f t="shared" si="28"/>
        <v>0.26127332738058773</v>
      </c>
      <c r="H72" s="2">
        <f t="shared" si="29"/>
        <v>58342.461351432357</v>
      </c>
      <c r="I72" s="1">
        <f t="shared" si="30"/>
        <v>-2591254731.6050224</v>
      </c>
      <c r="J72" s="6">
        <f t="shared" si="31"/>
        <v>1701921398.2716892</v>
      </c>
      <c r="K72">
        <v>315</v>
      </c>
      <c r="L72" s="4">
        <f t="shared" si="10"/>
        <v>-0.36139470765875992</v>
      </c>
      <c r="M72" s="4">
        <f t="shared" si="11"/>
        <v>0.3614219027629969</v>
      </c>
      <c r="N72" s="4">
        <f t="shared" si="12"/>
        <v>-0.10873398678200535</v>
      </c>
      <c r="O72" s="5">
        <f t="shared" si="13"/>
        <v>0.52254665476117546</v>
      </c>
      <c r="P72" s="2">
        <f t="shared" si="14"/>
        <v>41254.350052711889</v>
      </c>
      <c r="Q72" s="1">
        <f t="shared" si="15"/>
        <v>-1295627365.8025112</v>
      </c>
      <c r="R72" s="6">
        <f t="shared" si="16"/>
        <v>850960699.13584459</v>
      </c>
      <c r="S72">
        <v>315</v>
      </c>
      <c r="T72" s="4">
        <f t="shared" si="17"/>
        <v>0.65630179281363243</v>
      </c>
      <c r="U72" s="4">
        <f t="shared" si="18"/>
        <v>-0.65630179281363277</v>
      </c>
      <c r="V72" s="4">
        <f t="shared" si="19"/>
        <v>0</v>
      </c>
      <c r="W72" s="5">
        <f t="shared" si="25"/>
        <v>0.92815089640681636</v>
      </c>
      <c r="X72" s="2">
        <f t="shared" si="21"/>
        <v>30954.442814285296</v>
      </c>
      <c r="Y72" s="1">
        <f t="shared" si="32"/>
        <v>-1034922098.3047626</v>
      </c>
      <c r="Z72" s="1">
        <f t="shared" si="33"/>
        <v>479088764.97142929</v>
      </c>
      <c r="AA72" s="1">
        <f t="shared" si="34"/>
        <v>-555833333.33333325</v>
      </c>
    </row>
    <row r="73" spans="1:27" x14ac:dyDescent="0.3">
      <c r="A73">
        <v>320</v>
      </c>
      <c r="B73" s="4">
        <f t="shared" si="3"/>
        <v>0.25092055730890861</v>
      </c>
      <c r="C73" s="4">
        <f t="shared" si="4"/>
        <v>0.17494567724574306</v>
      </c>
      <c r="D73" s="4">
        <f t="shared" si="5"/>
        <v>-2.6635198578062527E-3</v>
      </c>
      <c r="E73" s="4">
        <f t="shared" si="26"/>
        <v>-0.49889134960509124</v>
      </c>
      <c r="F73" s="5">
        <f t="shared" si="27"/>
        <v>0.30589901994811608</v>
      </c>
      <c r="G73" s="5">
        <f t="shared" si="28"/>
        <v>0.30589901994811608</v>
      </c>
      <c r="H73" s="2">
        <f t="shared" si="29"/>
        <v>53919.175483788851</v>
      </c>
      <c r="I73" s="1">
        <f t="shared" si="30"/>
        <v>-2342972075.7591414</v>
      </c>
      <c r="J73" s="6">
        <f t="shared" si="31"/>
        <v>1453638742.4258082</v>
      </c>
      <c r="K73">
        <v>320</v>
      </c>
      <c r="L73" s="4">
        <f t="shared" si="10"/>
        <v>-0.45975500213243492</v>
      </c>
      <c r="M73" s="4">
        <f t="shared" si="11"/>
        <v>0.38466260818658732</v>
      </c>
      <c r="N73" s="4">
        <f t="shared" si="12"/>
        <v>-0.12229823178676173</v>
      </c>
      <c r="O73" s="5">
        <f t="shared" si="13"/>
        <v>0.61179803989623216</v>
      </c>
      <c r="P73" s="2">
        <f t="shared" si="14"/>
        <v>38126.614620574539</v>
      </c>
      <c r="Q73" s="1">
        <f t="shared" si="15"/>
        <v>-1171486037.8795707</v>
      </c>
      <c r="R73" s="6">
        <f t="shared" si="16"/>
        <v>726819371.2129041</v>
      </c>
      <c r="S73">
        <v>320</v>
      </c>
      <c r="T73" s="4">
        <f t="shared" si="17"/>
        <v>0.74496470040323171</v>
      </c>
      <c r="U73" s="4">
        <f t="shared" si="18"/>
        <v>-0.625099605348445</v>
      </c>
      <c r="V73" s="4">
        <f t="shared" si="19"/>
        <v>0</v>
      </c>
      <c r="W73" s="5">
        <f t="shared" si="25"/>
        <v>0.972482350201616</v>
      </c>
      <c r="X73" s="2">
        <f t="shared" si="21"/>
        <v>30240.670856014818</v>
      </c>
      <c r="Y73" s="1">
        <f t="shared" si="32"/>
        <v>-1013082420.2442453</v>
      </c>
      <c r="Z73" s="1">
        <f t="shared" si="33"/>
        <v>457249086.91091198</v>
      </c>
      <c r="AA73" s="1">
        <f t="shared" si="34"/>
        <v>-555833333.33333325</v>
      </c>
    </row>
    <row r="74" spans="1:27" x14ac:dyDescent="0.3">
      <c r="A74">
        <v>325</v>
      </c>
      <c r="B74" s="4">
        <f t="shared" ref="B74:B81" si="35">G74*COS(RADIANS(A74))*(COS($G$5)*COS($G$6))+G74*SIN(RADIANS(A74))*(COS($G$5)*SIN($G$6)*SIN($G$7)-SIN($G$5)*COS($G$7))</f>
        <v>0.31334734366937517</v>
      </c>
      <c r="C74" s="4">
        <f t="shared" ref="C74:C81" si="36">G74*COS(RADIANS(A74))*(SIN(G$5)*COS(G$6))+G74*SIN(RADIANS(A74))*(SIN(G$5)*SIN(G$6)*SIN(G$7)+COS(G$5)*COS(G$7))</f>
        <v>0.18024285986669925</v>
      </c>
      <c r="D74" s="4">
        <f t="shared" ref="D74:D81" si="37">G74*COS(RADIANS(A74))*(-SIN(G$6))+G74*SIN(RADIANS(A74))*(COS(G$6)*SIN(G$7))</f>
        <v>-6.2286337238060575E-3</v>
      </c>
      <c r="E74" s="4">
        <f t="shared" si="26"/>
        <v>-0.98713779866243245</v>
      </c>
      <c r="F74" s="5">
        <f t="shared" si="27"/>
        <v>0.36154231038101947</v>
      </c>
      <c r="G74" s="5">
        <f t="shared" si="28"/>
        <v>0.36154231038101947</v>
      </c>
      <c r="H74" s="2">
        <f t="shared" si="29"/>
        <v>49596.693128773528</v>
      </c>
      <c r="I74" s="1">
        <f t="shared" si="30"/>
        <v>-2119249317.9881992</v>
      </c>
      <c r="J74" s="6">
        <f t="shared" si="31"/>
        <v>1229915984.6548657</v>
      </c>
      <c r="K74">
        <v>325</v>
      </c>
      <c r="L74" s="4">
        <f t="shared" ref="L74:L81" si="38">O74*COS(RADIANS(K74))*(COS($Q$5)*COS($Q$6))+O74*SIN(RADIANS(K74))*(COS($Q$5)*SIN($Q$6)*SIN($Q$7)-SIN($Q$5)*COS($Q$7))</f>
        <v>-0.58254684701263126</v>
      </c>
      <c r="M74" s="4">
        <f t="shared" ref="M74:M81" si="39">O74*COS(RADIANS(K74))*(SIN(Q$5)*COS(Q$6))+O74*SIN(RADIANS(K74))*(SIN(Q$5)*SIN(Q$6)*SIN(Q$7)+COS(Q$5)*COS(Q$7))</f>
        <v>0.40568114192090104</v>
      </c>
      <c r="N74" s="4">
        <f t="shared" ref="N74:N81" si="40">O74*COS(RADIANS(K74))*(-SIN(Q$6))+O74*SIN(RADIANS(K74))*(COS(Q$6)*SIN(Q$7))</f>
        <v>-0.13752581905946851</v>
      </c>
      <c r="O74" s="5">
        <f t="shared" ref="O74:O81" si="41">O$3/(1-L$6*COS(RADIANS(K74)))</f>
        <v>0.72308462076203894</v>
      </c>
      <c r="P74" s="2">
        <f t="shared" ref="P74:P81" si="42">SQRT(0.0000000000667*2E+30/(O74*150000000000))</f>
        <v>35070.158035784007</v>
      </c>
      <c r="Q74" s="1">
        <f t="shared" ref="Q74:Q81" si="43">O$4-R74</f>
        <v>-1059624658.9940996</v>
      </c>
      <c r="R74" s="6">
        <f t="shared" ref="R74:R81" si="44">0.0000000000667*2E+30/(2*O74*150000000000)</f>
        <v>614957992.32743287</v>
      </c>
      <c r="S74">
        <v>325</v>
      </c>
      <c r="T74" s="4">
        <f t="shared" ref="T74:T81" si="45">W74*COS(RADIANS(S74))*(COS($Y$5)*COS($Y$6))+W74*SIN(RADIANS(S74))*(COS($Y$5)*SIN($Y$6)*SIN($Y$7)-SIN($Y$5)*COS($Y$7))</f>
        <v>0.83243778201311258</v>
      </c>
      <c r="U74" s="4">
        <f t="shared" ref="U74:U81" si="46">W74*COS(RADIANS(S74))*(SIN(Y$5)*COS(Y$6))+W74*SIN(RADIANS(S74))*(SIN(Y$5)*SIN(Y$6)*SIN(Y$7)+COS(Y$5)*COS(Y$7))</f>
        <v>-0.58287921005615317</v>
      </c>
      <c r="V74" s="4">
        <f t="shared" ref="V74:V81" si="47">W74*COS(RADIANS(S74))*(-SIN(Y$6))+W74*SIN(RADIANS(S74))*(COS(Y$6)*SIN(Y$7))</f>
        <v>0</v>
      </c>
      <c r="W74" s="5">
        <f t="shared" si="25"/>
        <v>1.0162188910065564</v>
      </c>
      <c r="X74" s="2">
        <f t="shared" ref="X74:X81" si="48">SQRT(0.0000000000667*2E+30/(W74*150000000000))</f>
        <v>29582.757486587849</v>
      </c>
      <c r="Y74" s="1">
        <f t="shared" si="32"/>
        <v>-993403103.58846807</v>
      </c>
      <c r="Z74" s="1">
        <f t="shared" si="33"/>
        <v>437569770.2551347</v>
      </c>
      <c r="AA74" s="1">
        <f t="shared" si="34"/>
        <v>-555833333.33333337</v>
      </c>
    </row>
    <row r="75" spans="1:27" x14ac:dyDescent="0.3">
      <c r="A75">
        <v>330</v>
      </c>
      <c r="B75" s="4">
        <f t="shared" si="35"/>
        <v>0.39042922359353222</v>
      </c>
      <c r="C75" s="4">
        <f t="shared" si="36"/>
        <v>0.18148204561416117</v>
      </c>
      <c r="D75" s="4">
        <f t="shared" si="37"/>
        <v>-1.1033202861170403E-2</v>
      </c>
      <c r="E75" s="4">
        <f t="shared" si="26"/>
        <v>-1.46794112767875</v>
      </c>
      <c r="F75" s="5">
        <f t="shared" si="27"/>
        <v>0.43068833636578158</v>
      </c>
      <c r="G75" s="5">
        <f t="shared" si="28"/>
        <v>0.43068833636578158</v>
      </c>
      <c r="H75" s="2">
        <f t="shared" si="29"/>
        <v>45441.298182006074</v>
      </c>
      <c r="I75" s="1">
        <f t="shared" si="30"/>
        <v>-1921789123.5663276</v>
      </c>
      <c r="J75" s="6">
        <f t="shared" si="31"/>
        <v>1032455790.2329943</v>
      </c>
      <c r="K75">
        <v>330</v>
      </c>
      <c r="L75" s="4">
        <f t="shared" si="38"/>
        <v>-0.73533105101349483</v>
      </c>
      <c r="M75" s="4">
        <f t="shared" si="39"/>
        <v>0.42127676288022403</v>
      </c>
      <c r="N75" s="4">
        <f t="shared" si="40"/>
        <v>-0.15422031902005348</v>
      </c>
      <c r="O75" s="5">
        <f t="shared" si="41"/>
        <v>0.86137667273156315</v>
      </c>
      <c r="P75" s="2">
        <f t="shared" si="42"/>
        <v>32131.850090416428</v>
      </c>
      <c r="Q75" s="1">
        <f t="shared" si="43"/>
        <v>-960894561.78316379</v>
      </c>
      <c r="R75" s="6">
        <f t="shared" si="44"/>
        <v>516227895.11649716</v>
      </c>
      <c r="S75">
        <v>330</v>
      </c>
      <c r="T75" s="4">
        <f t="shared" si="45"/>
        <v>0.91644952894850817</v>
      </c>
      <c r="U75" s="4">
        <f t="shared" si="46"/>
        <v>-0.52911238223712753</v>
      </c>
      <c r="V75" s="4">
        <f t="shared" si="47"/>
        <v>0</v>
      </c>
      <c r="W75" s="5">
        <f t="shared" si="25"/>
        <v>1.0582247644742542</v>
      </c>
      <c r="X75" s="2">
        <f t="shared" si="48"/>
        <v>28989.673557546113</v>
      </c>
      <c r="Y75" s="1">
        <f t="shared" si="32"/>
        <v>-976033919.81987762</v>
      </c>
      <c r="Z75" s="1">
        <f t="shared" si="33"/>
        <v>420200586.48654419</v>
      </c>
      <c r="AA75" s="1">
        <f t="shared" si="34"/>
        <v>-555833333.33333349</v>
      </c>
    </row>
    <row r="76" spans="1:27" x14ac:dyDescent="0.3">
      <c r="A76">
        <v>335</v>
      </c>
      <c r="B76" s="4">
        <f t="shared" si="35"/>
        <v>0.48419330621248785</v>
      </c>
      <c r="C76" s="4">
        <f t="shared" si="36"/>
        <v>0.17575527449120504</v>
      </c>
      <c r="D76" s="4">
        <f t="shared" si="37"/>
        <v>-1.7426840590152051E-2</v>
      </c>
      <c r="E76" s="4">
        <f t="shared" si="26"/>
        <v>-1.9376707513259661</v>
      </c>
      <c r="F76" s="5">
        <f t="shared" si="27"/>
        <v>0.51539962074628398</v>
      </c>
      <c r="G76" s="5">
        <f t="shared" si="28"/>
        <v>0.51539962074628409</v>
      </c>
      <c r="H76" s="2">
        <f t="shared" si="29"/>
        <v>41539.401788409676</v>
      </c>
      <c r="I76" s="1">
        <f t="shared" si="30"/>
        <v>-1752094283.8027999</v>
      </c>
      <c r="J76" s="6">
        <f t="shared" si="31"/>
        <v>862760950.46946657</v>
      </c>
      <c r="K76">
        <v>335</v>
      </c>
      <c r="L76" s="4">
        <f t="shared" si="38"/>
        <v>-0.92277238237980641</v>
      </c>
      <c r="M76" s="4">
        <f t="shared" si="39"/>
        <v>0.42611492278728652</v>
      </c>
      <c r="N76" s="4">
        <f t="shared" si="40"/>
        <v>-0.17165162148006369</v>
      </c>
      <c r="O76" s="5">
        <f t="shared" si="41"/>
        <v>1.0307992414925682</v>
      </c>
      <c r="P76" s="2">
        <f t="shared" si="42"/>
        <v>29372.792691017083</v>
      </c>
      <c r="Q76" s="1">
        <f t="shared" si="43"/>
        <v>-876047141.90139997</v>
      </c>
      <c r="R76" s="6">
        <f t="shared" si="44"/>
        <v>431380475.23473328</v>
      </c>
      <c r="S76">
        <v>335</v>
      </c>
      <c r="T76" s="4">
        <f t="shared" si="45"/>
        <v>0.99440165299999717</v>
      </c>
      <c r="U76" s="4">
        <f t="shared" si="46"/>
        <v>-0.46369710607588793</v>
      </c>
      <c r="V76" s="4">
        <f t="shared" si="47"/>
        <v>0</v>
      </c>
      <c r="W76" s="5">
        <f t="shared" si="25"/>
        <v>1.0972008264999986</v>
      </c>
      <c r="X76" s="2">
        <f t="shared" si="48"/>
        <v>28470.115053558147</v>
      </c>
      <c r="Y76" s="1">
        <f t="shared" si="32"/>
        <v>-961107058.91475248</v>
      </c>
      <c r="Z76" s="1">
        <f t="shared" si="33"/>
        <v>405273725.58141911</v>
      </c>
      <c r="AA76" s="1">
        <f t="shared" si="34"/>
        <v>-555833333.33333337</v>
      </c>
    </row>
    <row r="77" spans="1:27" x14ac:dyDescent="0.3">
      <c r="A77">
        <v>340</v>
      </c>
      <c r="B77" s="4">
        <f t="shared" si="35"/>
        <v>0.59436688331945942</v>
      </c>
      <c r="C77" s="4">
        <f t="shared" si="36"/>
        <v>0.15889725556330275</v>
      </c>
      <c r="D77" s="4">
        <f t="shared" si="37"/>
        <v>-2.5708467105141894E-2</v>
      </c>
      <c r="E77" s="4">
        <f t="shared" si="26"/>
        <v>-2.3927737206949686</v>
      </c>
      <c r="F77" s="5">
        <f t="shared" si="27"/>
        <v>0.6157769523888772</v>
      </c>
      <c r="G77" s="5">
        <f t="shared" si="28"/>
        <v>0.61577695238887731</v>
      </c>
      <c r="H77" s="2">
        <f t="shared" si="29"/>
        <v>38003.235271735299</v>
      </c>
      <c r="I77" s="1">
        <f t="shared" si="30"/>
        <v>-1611456278.8927662</v>
      </c>
      <c r="J77" s="6">
        <f t="shared" si="31"/>
        <v>722122945.55943286</v>
      </c>
      <c r="K77">
        <v>340</v>
      </c>
      <c r="L77" s="4">
        <f t="shared" si="38"/>
        <v>-1.1452455763089247</v>
      </c>
      <c r="M77" s="4">
        <f t="shared" si="39"/>
        <v>0.41201165750537783</v>
      </c>
      <c r="N77" s="4">
        <f t="shared" si="40"/>
        <v>-0.1881063114248035</v>
      </c>
      <c r="O77" s="5">
        <f t="shared" si="41"/>
        <v>1.2315539047777546</v>
      </c>
      <c r="P77" s="2">
        <f t="shared" si="42"/>
        <v>26872.345367671816</v>
      </c>
      <c r="Q77" s="1">
        <f t="shared" si="43"/>
        <v>-805728139.44638312</v>
      </c>
      <c r="R77" s="6">
        <f t="shared" si="44"/>
        <v>361061472.77971643</v>
      </c>
      <c r="S77">
        <v>340</v>
      </c>
      <c r="T77" s="4">
        <f t="shared" si="45"/>
        <v>1.0634945743553152</v>
      </c>
      <c r="U77" s="4">
        <f t="shared" si="46"/>
        <v>-0.38708036936893914</v>
      </c>
      <c r="V77" s="4">
        <f t="shared" si="47"/>
        <v>0</v>
      </c>
      <c r="W77" s="5">
        <f t="shared" ref="W77:W81" si="49">W$3/(1-T$6*COS(RADIANS(S77)))</f>
        <v>1.1317472871776577</v>
      </c>
      <c r="X77" s="2">
        <f t="shared" si="48"/>
        <v>28032.223956166334</v>
      </c>
      <c r="Y77" s="1">
        <f t="shared" si="32"/>
        <v>-948736123.29766619</v>
      </c>
      <c r="Z77" s="1">
        <f t="shared" si="33"/>
        <v>392902789.96433282</v>
      </c>
      <c r="AA77" s="1">
        <f t="shared" si="34"/>
        <v>-555833333.33333337</v>
      </c>
    </row>
    <row r="78" spans="1:27" x14ac:dyDescent="0.3">
      <c r="A78">
        <v>345</v>
      </c>
      <c r="B78" s="4">
        <f t="shared" si="35"/>
        <v>0.7151629672397245</v>
      </c>
      <c r="C78" s="4">
        <f t="shared" si="36"/>
        <v>0.12586188633161921</v>
      </c>
      <c r="D78" s="4">
        <f t="shared" si="37"/>
        <v>-3.5893438818862013E-2</v>
      </c>
      <c r="E78" s="4">
        <f t="shared" si="26"/>
        <v>-2.8298002666757465</v>
      </c>
      <c r="F78" s="5">
        <f t="shared" si="27"/>
        <v>0.72704031737746433</v>
      </c>
      <c r="G78" s="5">
        <f t="shared" si="28"/>
        <v>0.72704031737746433</v>
      </c>
      <c r="H78" s="2">
        <f t="shared" si="29"/>
        <v>34974.62267530003</v>
      </c>
      <c r="I78" s="1">
        <f t="shared" si="30"/>
        <v>-1500945448.9731388</v>
      </c>
      <c r="J78" s="6">
        <f t="shared" si="31"/>
        <v>611612115.63980556</v>
      </c>
      <c r="K78">
        <v>345</v>
      </c>
      <c r="L78" s="4">
        <f t="shared" si="38"/>
        <v>-1.3923697509754485</v>
      </c>
      <c r="M78" s="4">
        <f t="shared" si="39"/>
        <v>0.36811974725411678</v>
      </c>
      <c r="N78" s="4">
        <f t="shared" si="40"/>
        <v>-0.2003617244371515</v>
      </c>
      <c r="O78" s="5">
        <f t="shared" si="41"/>
        <v>1.4540806347549287</v>
      </c>
      <c r="P78" s="2">
        <f t="shared" si="42"/>
        <v>24730.792863145442</v>
      </c>
      <c r="Q78" s="1">
        <f t="shared" si="43"/>
        <v>-750472724.4865694</v>
      </c>
      <c r="R78" s="6">
        <f t="shared" si="44"/>
        <v>305806057.81990278</v>
      </c>
      <c r="S78">
        <v>345</v>
      </c>
      <c r="T78" s="4">
        <f t="shared" si="45"/>
        <v>1.1209166818152287</v>
      </c>
      <c r="U78" s="4">
        <f t="shared" si="46"/>
        <v>-0.30034871967496418</v>
      </c>
      <c r="V78" s="4">
        <f t="shared" si="47"/>
        <v>0</v>
      </c>
      <c r="W78" s="5">
        <f t="shared" si="49"/>
        <v>1.1604583409076143</v>
      </c>
      <c r="X78" s="2">
        <f t="shared" si="48"/>
        <v>27683.277621159901</v>
      </c>
      <c r="Y78" s="1">
        <f t="shared" si="32"/>
        <v>-939015263.25843966</v>
      </c>
      <c r="Z78" s="1">
        <f t="shared" si="33"/>
        <v>383181929.92510629</v>
      </c>
      <c r="AA78" s="1">
        <f t="shared" si="34"/>
        <v>-555833333.33333337</v>
      </c>
    </row>
    <row r="79" spans="1:27" x14ac:dyDescent="0.3">
      <c r="A79">
        <v>350</v>
      </c>
      <c r="B79" s="4">
        <f t="shared" si="35"/>
        <v>0.83122561636225201</v>
      </c>
      <c r="C79" s="4">
        <f t="shared" si="36"/>
        <v>7.2599725798905085E-2</v>
      </c>
      <c r="D79" s="4">
        <f t="shared" si="37"/>
        <v>-4.7313320678699963E-2</v>
      </c>
      <c r="E79" s="4">
        <f t="shared" si="26"/>
        <v>-3.2454291027913196</v>
      </c>
      <c r="F79" s="5">
        <f t="shared" si="27"/>
        <v>0.83573039659720849</v>
      </c>
      <c r="G79" s="5">
        <f t="shared" si="28"/>
        <v>0.8357303965972086</v>
      </c>
      <c r="H79" s="2">
        <f t="shared" si="29"/>
        <v>32621.143905587895</v>
      </c>
      <c r="I79" s="1">
        <f t="shared" si="30"/>
        <v>-1421402848.1878705</v>
      </c>
      <c r="J79" s="6">
        <f t="shared" si="31"/>
        <v>532069514.85453713</v>
      </c>
      <c r="K79">
        <v>350</v>
      </c>
      <c r="L79" s="4">
        <f t="shared" si="38"/>
        <v>-1.6345443017586638</v>
      </c>
      <c r="M79" s="4">
        <f t="shared" si="39"/>
        <v>0.28390354666318562</v>
      </c>
      <c r="N79" s="4">
        <f t="shared" si="40"/>
        <v>-0.20358016840168169</v>
      </c>
      <c r="O79" s="5">
        <f t="shared" si="41"/>
        <v>1.6714607931944172</v>
      </c>
      <c r="P79" s="2">
        <f t="shared" si="42"/>
        <v>23066.632065703419</v>
      </c>
      <c r="Q79" s="1">
        <f t="shared" si="43"/>
        <v>-710701424.09393525</v>
      </c>
      <c r="R79" s="6">
        <f t="shared" si="44"/>
        <v>266034757.42726856</v>
      </c>
      <c r="S79">
        <v>350</v>
      </c>
      <c r="T79" s="4">
        <f t="shared" si="45"/>
        <v>1.1640842482013765</v>
      </c>
      <c r="U79" s="4">
        <f t="shared" si="46"/>
        <v>-0.20525946077563212</v>
      </c>
      <c r="V79" s="4">
        <f t="shared" si="47"/>
        <v>0</v>
      </c>
      <c r="W79" s="5">
        <f t="shared" si="49"/>
        <v>1.1820421241006884</v>
      </c>
      <c r="X79" s="2">
        <f t="shared" si="48"/>
        <v>27429.368460766789</v>
      </c>
      <c r="Y79" s="1">
        <f t="shared" si="32"/>
        <v>-932018460.41158724</v>
      </c>
      <c r="Z79" s="1">
        <f t="shared" si="33"/>
        <v>376185127.07825392</v>
      </c>
      <c r="AA79" s="1">
        <f t="shared" si="34"/>
        <v>-555833333.33333325</v>
      </c>
    </row>
    <row r="80" spans="1:27" x14ac:dyDescent="0.3">
      <c r="A80">
        <v>355</v>
      </c>
      <c r="B80" s="4">
        <f t="shared" si="35"/>
        <v>0.91669257846426655</v>
      </c>
      <c r="C80" s="4">
        <f t="shared" si="36"/>
        <v>-3.3951587672415018E-5</v>
      </c>
      <c r="D80" s="4">
        <f t="shared" si="37"/>
        <v>-5.8259595567014599E-2</v>
      </c>
      <c r="E80" s="4">
        <f t="shared" si="26"/>
        <v>-3.6364923614175435</v>
      </c>
      <c r="F80" s="5">
        <f t="shared" si="27"/>
        <v>0.91854203226624742</v>
      </c>
      <c r="G80" s="5">
        <f t="shared" si="28"/>
        <v>0.91854203226624742</v>
      </c>
      <c r="H80" s="2">
        <f t="shared" si="29"/>
        <v>31115.928731912798</v>
      </c>
      <c r="I80" s="1">
        <f t="shared" si="30"/>
        <v>-1373433843.7580714</v>
      </c>
      <c r="J80" s="6">
        <f t="shared" si="31"/>
        <v>484100510.42473817</v>
      </c>
      <c r="K80">
        <v>355</v>
      </c>
      <c r="L80" s="4">
        <f t="shared" si="38"/>
        <v>-1.8202279982153673</v>
      </c>
      <c r="M80" s="4">
        <f t="shared" si="39"/>
        <v>0.15661358547085291</v>
      </c>
      <c r="N80" s="4">
        <f t="shared" si="40"/>
        <v>-0.19266571962358076</v>
      </c>
      <c r="O80" s="5">
        <f t="shared" si="41"/>
        <v>1.8370840645324948</v>
      </c>
      <c r="P80" s="2">
        <f t="shared" si="42"/>
        <v>22002.28420925287</v>
      </c>
      <c r="Q80" s="1">
        <f t="shared" si="43"/>
        <v>-686716921.87903571</v>
      </c>
      <c r="R80" s="6">
        <f t="shared" si="44"/>
        <v>242050255.21236908</v>
      </c>
      <c r="S80">
        <v>355</v>
      </c>
      <c r="T80" s="4">
        <f t="shared" si="45"/>
        <v>1.1909018964509861</v>
      </c>
      <c r="U80" s="4">
        <f t="shared" si="46"/>
        <v>-0.10419041531098529</v>
      </c>
      <c r="V80" s="4">
        <f t="shared" si="47"/>
        <v>0</v>
      </c>
      <c r="W80" s="5">
        <f t="shared" si="49"/>
        <v>1.1954509482254931</v>
      </c>
      <c r="X80" s="2">
        <f t="shared" si="48"/>
        <v>27275.103347860128</v>
      </c>
      <c r="Y80" s="1">
        <f t="shared" si="32"/>
        <v>-927798964.65155876</v>
      </c>
      <c r="Z80" s="1">
        <f t="shared" si="33"/>
        <v>371965631.31822538</v>
      </c>
      <c r="AA80" s="1">
        <f t="shared" si="34"/>
        <v>-555833333.33333337</v>
      </c>
    </row>
    <row r="81" spans="1:27" x14ac:dyDescent="0.3">
      <c r="A81">
        <v>360</v>
      </c>
      <c r="B81" s="4">
        <f t="shared" si="35"/>
        <v>0.94407961698197618</v>
      </c>
      <c r="C81" s="4">
        <f t="shared" si="36"/>
        <v>-8.2596263951819113E-2</v>
      </c>
      <c r="D81" s="4">
        <f t="shared" si="37"/>
        <v>-6.6268650056919232E-2</v>
      </c>
      <c r="E81" s="4">
        <f t="shared" si="26"/>
        <v>-4.0000000000000124</v>
      </c>
      <c r="F81" s="5">
        <f t="shared" si="27"/>
        <v>0.95</v>
      </c>
      <c r="G81" s="5">
        <f t="shared" si="28"/>
        <v>0.95</v>
      </c>
      <c r="H81" s="2">
        <f t="shared" si="29"/>
        <v>30596.410751543928</v>
      </c>
      <c r="I81" s="1">
        <f t="shared" si="30"/>
        <v>-1357403508.7719297</v>
      </c>
      <c r="J81" s="6">
        <f t="shared" si="31"/>
        <v>468070175.43859649</v>
      </c>
      <c r="K81">
        <v>360</v>
      </c>
      <c r="L81" s="4">
        <f t="shared" si="38"/>
        <v>-1.8927699263743165</v>
      </c>
      <c r="M81" s="4">
        <f t="shared" si="39"/>
        <v>6.8727530332990598E-16</v>
      </c>
      <c r="N81" s="4">
        <f t="shared" si="40"/>
        <v>-0.16559591122055059</v>
      </c>
      <c r="O81" s="5">
        <f t="shared" si="41"/>
        <v>1.9</v>
      </c>
      <c r="P81" s="2">
        <f t="shared" si="42"/>
        <v>21634.929522385704</v>
      </c>
      <c r="Q81" s="1">
        <f t="shared" si="43"/>
        <v>-678701754.38596487</v>
      </c>
      <c r="R81" s="6">
        <f t="shared" si="44"/>
        <v>234035087.71929824</v>
      </c>
      <c r="S81">
        <v>360</v>
      </c>
      <c r="T81" s="4">
        <f t="shared" si="45"/>
        <v>1.2000000000000002</v>
      </c>
      <c r="U81" s="4">
        <f t="shared" si="46"/>
        <v>-2.9403562917806885E-16</v>
      </c>
      <c r="V81" s="4">
        <f t="shared" si="47"/>
        <v>0</v>
      </c>
      <c r="W81" s="5">
        <f t="shared" si="49"/>
        <v>1.2000000000000002</v>
      </c>
      <c r="X81" s="2">
        <f t="shared" si="48"/>
        <v>27223.355985460556</v>
      </c>
      <c r="Y81" s="1">
        <f t="shared" si="32"/>
        <v>-926388888.88888884</v>
      </c>
      <c r="Z81" s="1">
        <f t="shared" si="33"/>
        <v>370555555.55555552</v>
      </c>
      <c r="AA81" s="1">
        <f t="shared" si="34"/>
        <v>-555833333.33333325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d</vt:lpstr>
      <vt:lpstr>G</vt:lpstr>
      <vt:lpstr>MBH</vt:lpstr>
      <vt:lpstr>MSol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Alexander DeBirk</dc:creator>
  <cp:lastModifiedBy>david</cp:lastModifiedBy>
  <dcterms:created xsi:type="dcterms:W3CDTF">2016-12-28T20:07:04Z</dcterms:created>
  <dcterms:modified xsi:type="dcterms:W3CDTF">2022-11-28T13:32:19Z</dcterms:modified>
</cp:coreProperties>
</file>